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mit Data Analyst\Securitisation Data analyst project\"/>
    </mc:Choice>
  </mc:AlternateContent>
  <bookViews>
    <workbookView xWindow="0" yWindow="0" windowWidth="15000" windowHeight="11670" activeTab="2"/>
  </bookViews>
  <sheets>
    <sheet name="ECL Crosscheck" sheetId="1" r:id="rId1"/>
    <sheet name="Waterfall Validation" sheetId="2" r:id="rId2"/>
    <sheet name="DAX Measure Dictionary" sheetId="3" r:id="rId3"/>
  </sheets>
  <definedNames>
    <definedName name="auto_loan_securitisation_data" localSheetId="0">'ECL Crosscheck'!$A$2:$A$502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A119" i="3" l="1"/>
  <c r="A120" i="3"/>
  <c r="A121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2" i="3"/>
  <c r="B10" i="2"/>
  <c r="B9" i="2"/>
  <c r="H502" i="1" l="1"/>
  <c r="G502" i="1"/>
  <c r="E502" i="1"/>
  <c r="F50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</calcChain>
</file>

<file path=xl/connections.xml><?xml version="1.0" encoding="utf-8"?>
<connections xmlns="http://schemas.openxmlformats.org/spreadsheetml/2006/main">
  <connection id="1" name="auto_loan_securitisation_data" type="6" refreshedVersion="6" background="1" saveData="1">
    <textPr codePage="437" sourceFile="E:\Smit Data Analyst\Securitisation Data analyst project\Raw Data\auto_loan_securitisation_data.csv">
      <textFields>
        <textField/>
      </textFields>
    </textPr>
  </connection>
</connections>
</file>

<file path=xl/sharedStrings.xml><?xml version="1.0" encoding="utf-8"?>
<sst xmlns="http://schemas.openxmlformats.org/spreadsheetml/2006/main" count="1134" uniqueCount="903">
  <si>
    <t>PD</t>
  </si>
  <si>
    <t>LGD</t>
  </si>
  <si>
    <t>EAD</t>
  </si>
  <si>
    <t>Calculated ECL</t>
  </si>
  <si>
    <t xml:space="preserve">Variance </t>
  </si>
  <si>
    <t>Variance %</t>
  </si>
  <si>
    <t>LoanID</t>
  </si>
  <si>
    <t>ZAAUTO2024-1-00001</t>
  </si>
  <si>
    <t>ZAAUTO2024-1-00002</t>
  </si>
  <si>
    <t>ZAAUTO2024-1-00003</t>
  </si>
  <si>
    <t>ZAAUTO2024-1-00004</t>
  </si>
  <si>
    <t>ZAAUTO2024-1-00005</t>
  </si>
  <si>
    <t>ZAAUTO2024-1-00006</t>
  </si>
  <si>
    <t>ZAAUTO2024-1-00007</t>
  </si>
  <si>
    <t>ZAAUTO2024-1-00008</t>
  </si>
  <si>
    <t>ZAAUTO2024-1-00009</t>
  </si>
  <si>
    <t>ZAAUTO2024-1-00010</t>
  </si>
  <si>
    <t>ZAAUTO2024-1-00011</t>
  </si>
  <si>
    <t>ZAAUTO2024-1-00012</t>
  </si>
  <si>
    <t>ZAAUTO2024-1-00013</t>
  </si>
  <si>
    <t>ZAAUTO2024-1-00014</t>
  </si>
  <si>
    <t>ZAAUTO2024-1-00015</t>
  </si>
  <si>
    <t>ZAAUTO2024-1-00016</t>
  </si>
  <si>
    <t>ZAAUTO2024-1-00017</t>
  </si>
  <si>
    <t>ZAAUTO2024-1-00018</t>
  </si>
  <si>
    <t>ZAAUTO2024-1-00019</t>
  </si>
  <si>
    <t>ZAAUTO2024-1-00020</t>
  </si>
  <si>
    <t>ZAAUTO2024-1-00021</t>
  </si>
  <si>
    <t>ZAAUTO2024-1-00022</t>
  </si>
  <si>
    <t>ZAAUTO2024-1-00023</t>
  </si>
  <si>
    <t>ZAAUTO2024-1-00024</t>
  </si>
  <si>
    <t>ZAAUTO2024-1-00025</t>
  </si>
  <si>
    <t>ZAAUTO2024-1-00026</t>
  </si>
  <si>
    <t>ZAAUTO2024-1-00027</t>
  </si>
  <si>
    <t>ZAAUTO2024-1-00028</t>
  </si>
  <si>
    <t>ZAAUTO2024-1-00029</t>
  </si>
  <si>
    <t>ZAAUTO2024-1-00030</t>
  </si>
  <si>
    <t>ZAAUTO2024-1-00031</t>
  </si>
  <si>
    <t>ZAAUTO2024-1-00032</t>
  </si>
  <si>
    <t>ZAAUTO2024-1-00033</t>
  </si>
  <si>
    <t>ZAAUTO2024-1-00034</t>
  </si>
  <si>
    <t>ZAAUTO2024-1-00035</t>
  </si>
  <si>
    <t>ZAAUTO2024-1-00036</t>
  </si>
  <si>
    <t>ZAAUTO2024-1-00037</t>
  </si>
  <si>
    <t>ZAAUTO2024-1-00038</t>
  </si>
  <si>
    <t>ZAAUTO2024-1-00039</t>
  </si>
  <si>
    <t>ZAAUTO2024-1-00040</t>
  </si>
  <si>
    <t>ZAAUTO2024-1-00041</t>
  </si>
  <si>
    <t>ZAAUTO2024-1-00042</t>
  </si>
  <si>
    <t>ZAAUTO2024-1-00043</t>
  </si>
  <si>
    <t>ZAAUTO2024-1-00044</t>
  </si>
  <si>
    <t>ZAAUTO2024-1-00045</t>
  </si>
  <si>
    <t>ZAAUTO2024-1-00046</t>
  </si>
  <si>
    <t>ZAAUTO2024-1-00047</t>
  </si>
  <si>
    <t>ZAAUTO2024-1-00048</t>
  </si>
  <si>
    <t>ZAAUTO2024-1-00049</t>
  </si>
  <si>
    <t>ZAAUTO2024-1-00050</t>
  </si>
  <si>
    <t>ZAAUTO2024-1-00051</t>
  </si>
  <si>
    <t>ZAAUTO2024-1-00052</t>
  </si>
  <si>
    <t>ZAAUTO2024-1-00053</t>
  </si>
  <si>
    <t>ZAAUTO2024-1-00054</t>
  </si>
  <si>
    <t>ZAAUTO2024-1-00055</t>
  </si>
  <si>
    <t>ZAAUTO2024-1-00056</t>
  </si>
  <si>
    <t>ZAAUTO2024-1-00057</t>
  </si>
  <si>
    <t>ZAAUTO2024-1-00058</t>
  </si>
  <si>
    <t>ZAAUTO2024-1-00059</t>
  </si>
  <si>
    <t>ZAAUTO2024-1-00060</t>
  </si>
  <si>
    <t>ZAAUTO2024-1-00061</t>
  </si>
  <si>
    <t>ZAAUTO2024-1-00062</t>
  </si>
  <si>
    <t>ZAAUTO2024-1-00063</t>
  </si>
  <si>
    <t>ZAAUTO2024-1-00064</t>
  </si>
  <si>
    <t>ZAAUTO2024-1-00065</t>
  </si>
  <si>
    <t>ZAAUTO2024-1-00066</t>
  </si>
  <si>
    <t>ZAAUTO2024-1-00067</t>
  </si>
  <si>
    <t>ZAAUTO2024-1-00068</t>
  </si>
  <si>
    <t>ZAAUTO2024-1-00069</t>
  </si>
  <si>
    <t>ZAAUTO2024-1-00070</t>
  </si>
  <si>
    <t>ZAAUTO2024-1-00071</t>
  </si>
  <si>
    <t>ZAAUTO2024-1-00072</t>
  </si>
  <si>
    <t>ZAAUTO2024-1-00073</t>
  </si>
  <si>
    <t>ZAAUTO2024-1-00074</t>
  </si>
  <si>
    <t>ZAAUTO2024-1-00075</t>
  </si>
  <si>
    <t>ZAAUTO2024-1-00076</t>
  </si>
  <si>
    <t>ZAAUTO2024-1-00077</t>
  </si>
  <si>
    <t>ZAAUTO2024-1-00078</t>
  </si>
  <si>
    <t>ZAAUTO2024-1-00079</t>
  </si>
  <si>
    <t>ZAAUTO2024-1-00080</t>
  </si>
  <si>
    <t>ZAAUTO2024-1-00081</t>
  </si>
  <si>
    <t>ZAAUTO2024-1-00082</t>
  </si>
  <si>
    <t>ZAAUTO2024-1-00083</t>
  </si>
  <si>
    <t>ZAAUTO2024-1-00084</t>
  </si>
  <si>
    <t>ZAAUTO2024-1-00085</t>
  </si>
  <si>
    <t>ZAAUTO2024-1-00086</t>
  </si>
  <si>
    <t>ZAAUTO2024-1-00087</t>
  </si>
  <si>
    <t>ZAAUTO2024-1-00088</t>
  </si>
  <si>
    <t>ZAAUTO2024-1-00089</t>
  </si>
  <si>
    <t>ZAAUTO2024-1-00090</t>
  </si>
  <si>
    <t>ZAAUTO2024-1-00091</t>
  </si>
  <si>
    <t>ZAAUTO2024-1-00092</t>
  </si>
  <si>
    <t>ZAAUTO2024-1-00093</t>
  </si>
  <si>
    <t>ZAAUTO2024-1-00094</t>
  </si>
  <si>
    <t>ZAAUTO2024-1-00095</t>
  </si>
  <si>
    <t>ZAAUTO2024-1-00096</t>
  </si>
  <si>
    <t>ZAAUTO2024-1-00097</t>
  </si>
  <si>
    <t>ZAAUTO2024-1-00098</t>
  </si>
  <si>
    <t>ZAAUTO2024-1-00099</t>
  </si>
  <si>
    <t>ZAAUTO2024-1-00100</t>
  </si>
  <si>
    <t>ZAAUTO2024-1-00101</t>
  </si>
  <si>
    <t>ZAAUTO2024-1-00102</t>
  </si>
  <si>
    <t>ZAAUTO2024-1-00103</t>
  </si>
  <si>
    <t>ZAAUTO2024-1-00104</t>
  </si>
  <si>
    <t>ZAAUTO2024-1-00105</t>
  </si>
  <si>
    <t>ZAAUTO2024-1-00106</t>
  </si>
  <si>
    <t>ZAAUTO2024-1-00107</t>
  </si>
  <si>
    <t>ZAAUTO2024-1-00108</t>
  </si>
  <si>
    <t>ZAAUTO2024-1-00109</t>
  </si>
  <si>
    <t>ZAAUTO2024-1-00110</t>
  </si>
  <si>
    <t>ZAAUTO2024-1-00111</t>
  </si>
  <si>
    <t>ZAAUTO2024-1-00112</t>
  </si>
  <si>
    <t>ZAAUTO2024-1-00113</t>
  </si>
  <si>
    <t>ZAAUTO2024-1-00114</t>
  </si>
  <si>
    <t>ZAAUTO2024-1-00115</t>
  </si>
  <si>
    <t>ZAAUTO2024-1-00116</t>
  </si>
  <si>
    <t>ZAAUTO2024-1-00117</t>
  </si>
  <si>
    <t>ZAAUTO2024-1-00118</t>
  </si>
  <si>
    <t>ZAAUTO2024-1-00119</t>
  </si>
  <si>
    <t>ZAAUTO2024-1-00120</t>
  </si>
  <si>
    <t>ZAAUTO2024-1-00121</t>
  </si>
  <si>
    <t>ZAAUTO2024-1-00122</t>
  </si>
  <si>
    <t>ZAAUTO2024-1-00123</t>
  </si>
  <si>
    <t>ZAAUTO2024-1-00124</t>
  </si>
  <si>
    <t>ZAAUTO2024-1-00125</t>
  </si>
  <si>
    <t>ZAAUTO2024-1-00126</t>
  </si>
  <si>
    <t>ZAAUTO2024-1-00127</t>
  </si>
  <si>
    <t>ZAAUTO2024-1-00128</t>
  </si>
  <si>
    <t>ZAAUTO2024-1-00129</t>
  </si>
  <si>
    <t>ZAAUTO2024-1-00130</t>
  </si>
  <si>
    <t>ZAAUTO2024-1-00131</t>
  </si>
  <si>
    <t>ZAAUTO2024-1-00132</t>
  </si>
  <si>
    <t>ZAAUTO2024-1-00133</t>
  </si>
  <si>
    <t>ZAAUTO2024-1-00134</t>
  </si>
  <si>
    <t>ZAAUTO2024-1-00135</t>
  </si>
  <si>
    <t>ZAAUTO2024-1-00136</t>
  </si>
  <si>
    <t>ZAAUTO2024-1-00137</t>
  </si>
  <si>
    <t>ZAAUTO2024-1-00138</t>
  </si>
  <si>
    <t>ZAAUTO2024-1-00139</t>
  </si>
  <si>
    <t>ZAAUTO2024-1-00140</t>
  </si>
  <si>
    <t>ZAAUTO2024-1-00141</t>
  </si>
  <si>
    <t>ZAAUTO2024-1-00142</t>
  </si>
  <si>
    <t>ZAAUTO2024-1-00143</t>
  </si>
  <si>
    <t>ZAAUTO2024-1-00144</t>
  </si>
  <si>
    <t>ZAAUTO2024-1-00145</t>
  </si>
  <si>
    <t>ZAAUTO2024-1-00146</t>
  </si>
  <si>
    <t>ZAAUTO2024-1-00147</t>
  </si>
  <si>
    <t>ZAAUTO2024-1-00148</t>
  </si>
  <si>
    <t>ZAAUTO2024-1-00149</t>
  </si>
  <si>
    <t>ZAAUTO2024-1-00150</t>
  </si>
  <si>
    <t>ZAAUTO2024-1-00151</t>
  </si>
  <si>
    <t>ZAAUTO2024-1-00152</t>
  </si>
  <si>
    <t>ZAAUTO2024-1-00153</t>
  </si>
  <si>
    <t>ZAAUTO2024-1-00154</t>
  </si>
  <si>
    <t>ZAAUTO2024-1-00155</t>
  </si>
  <si>
    <t>ZAAUTO2024-1-00156</t>
  </si>
  <si>
    <t>ZAAUTO2024-1-00157</t>
  </si>
  <si>
    <t>ZAAUTO2024-1-00158</t>
  </si>
  <si>
    <t>ZAAUTO2024-1-00159</t>
  </si>
  <si>
    <t>ZAAUTO2024-1-00160</t>
  </si>
  <si>
    <t>ZAAUTO2024-1-00161</t>
  </si>
  <si>
    <t>ZAAUTO2024-1-00162</t>
  </si>
  <si>
    <t>ZAAUTO2024-1-00163</t>
  </si>
  <si>
    <t>ZAAUTO2024-1-00164</t>
  </si>
  <si>
    <t>ZAAUTO2024-1-00165</t>
  </si>
  <si>
    <t>ZAAUTO2024-1-00166</t>
  </si>
  <si>
    <t>ZAAUTO2024-1-00167</t>
  </si>
  <si>
    <t>ZAAUTO2024-1-00168</t>
  </si>
  <si>
    <t>ZAAUTO2024-1-00169</t>
  </si>
  <si>
    <t>ZAAUTO2024-1-00170</t>
  </si>
  <si>
    <t>ZAAUTO2024-1-00171</t>
  </si>
  <si>
    <t>ZAAUTO2024-1-00172</t>
  </si>
  <si>
    <t>ZAAUTO2024-1-00173</t>
  </si>
  <si>
    <t>ZAAUTO2024-1-00174</t>
  </si>
  <si>
    <t>ZAAUTO2024-1-00175</t>
  </si>
  <si>
    <t>ZAAUTO2024-1-00176</t>
  </si>
  <si>
    <t>ZAAUTO2024-1-00177</t>
  </si>
  <si>
    <t>ZAAUTO2024-1-00178</t>
  </si>
  <si>
    <t>ZAAUTO2024-1-00179</t>
  </si>
  <si>
    <t>ZAAUTO2024-1-00180</t>
  </si>
  <si>
    <t>ZAAUTO2024-1-00181</t>
  </si>
  <si>
    <t>ZAAUTO2024-1-00182</t>
  </si>
  <si>
    <t>ZAAUTO2024-1-00183</t>
  </si>
  <si>
    <t>ZAAUTO2024-1-00184</t>
  </si>
  <si>
    <t>ZAAUTO2024-1-00185</t>
  </si>
  <si>
    <t>ZAAUTO2024-1-00186</t>
  </si>
  <si>
    <t>ZAAUTO2024-1-00187</t>
  </si>
  <si>
    <t>ZAAUTO2024-1-00188</t>
  </si>
  <si>
    <t>ZAAUTO2024-1-00189</t>
  </si>
  <si>
    <t>ZAAUTO2024-1-00190</t>
  </si>
  <si>
    <t>ZAAUTO2024-1-00191</t>
  </si>
  <si>
    <t>ZAAUTO2024-1-00192</t>
  </si>
  <si>
    <t>ZAAUTO2024-1-00193</t>
  </si>
  <si>
    <t>ZAAUTO2024-1-00194</t>
  </si>
  <si>
    <t>ZAAUTO2024-1-00195</t>
  </si>
  <si>
    <t>ZAAUTO2024-1-00196</t>
  </si>
  <si>
    <t>ZAAUTO2024-1-00197</t>
  </si>
  <si>
    <t>ZAAUTO2024-1-00198</t>
  </si>
  <si>
    <t>ZAAUTO2024-1-00199</t>
  </si>
  <si>
    <t>ZAAUTO2024-1-00200</t>
  </si>
  <si>
    <t>ZAAUTO2024-1-00201</t>
  </si>
  <si>
    <t>ZAAUTO2024-1-00202</t>
  </si>
  <si>
    <t>ZAAUTO2024-1-00203</t>
  </si>
  <si>
    <t>ZAAUTO2024-1-00204</t>
  </si>
  <si>
    <t>ZAAUTO2024-1-00205</t>
  </si>
  <si>
    <t>ZAAUTO2024-1-00206</t>
  </si>
  <si>
    <t>ZAAUTO2024-1-00207</t>
  </si>
  <si>
    <t>ZAAUTO2024-1-00208</t>
  </si>
  <si>
    <t>ZAAUTO2024-1-00209</t>
  </si>
  <si>
    <t>ZAAUTO2024-1-00210</t>
  </si>
  <si>
    <t>ZAAUTO2024-1-00211</t>
  </si>
  <si>
    <t>ZAAUTO2024-1-00212</t>
  </si>
  <si>
    <t>ZAAUTO2024-1-00213</t>
  </si>
  <si>
    <t>ZAAUTO2024-1-00214</t>
  </si>
  <si>
    <t>ZAAUTO2024-1-00215</t>
  </si>
  <si>
    <t>ZAAUTO2024-1-00216</t>
  </si>
  <si>
    <t>ZAAUTO2024-1-00217</t>
  </si>
  <si>
    <t>ZAAUTO2024-1-00218</t>
  </si>
  <si>
    <t>ZAAUTO2024-1-00219</t>
  </si>
  <si>
    <t>ZAAUTO2024-1-00220</t>
  </si>
  <si>
    <t>ZAAUTO2024-1-00221</t>
  </si>
  <si>
    <t>ZAAUTO2024-1-00222</t>
  </si>
  <si>
    <t>ZAAUTO2024-1-00223</t>
  </si>
  <si>
    <t>ZAAUTO2024-1-00224</t>
  </si>
  <si>
    <t>ZAAUTO2024-1-00225</t>
  </si>
  <si>
    <t>ZAAUTO2024-1-00226</t>
  </si>
  <si>
    <t>ZAAUTO2024-1-00227</t>
  </si>
  <si>
    <t>ZAAUTO2024-1-00228</t>
  </si>
  <si>
    <t>ZAAUTO2024-1-00229</t>
  </si>
  <si>
    <t>ZAAUTO2024-1-00230</t>
  </si>
  <si>
    <t>ZAAUTO2024-1-00231</t>
  </si>
  <si>
    <t>ZAAUTO2024-1-00232</t>
  </si>
  <si>
    <t>ZAAUTO2024-1-00233</t>
  </si>
  <si>
    <t>ZAAUTO2024-1-00234</t>
  </si>
  <si>
    <t>ZAAUTO2024-1-00235</t>
  </si>
  <si>
    <t>ZAAUTO2024-1-00236</t>
  </si>
  <si>
    <t>ZAAUTO2024-1-00237</t>
  </si>
  <si>
    <t>ZAAUTO2024-1-00238</t>
  </si>
  <si>
    <t>ZAAUTO2024-1-00239</t>
  </si>
  <si>
    <t>ZAAUTO2024-1-00240</t>
  </si>
  <si>
    <t>ZAAUTO2024-1-00241</t>
  </si>
  <si>
    <t>ZAAUTO2024-1-00242</t>
  </si>
  <si>
    <t>ZAAUTO2024-1-00243</t>
  </si>
  <si>
    <t>ZAAUTO2024-1-00244</t>
  </si>
  <si>
    <t>ZAAUTO2024-1-00245</t>
  </si>
  <si>
    <t>ZAAUTO2024-1-00246</t>
  </si>
  <si>
    <t>ZAAUTO2024-1-00247</t>
  </si>
  <si>
    <t>ZAAUTO2024-1-00248</t>
  </si>
  <si>
    <t>ZAAUTO2024-1-00249</t>
  </si>
  <si>
    <t>ZAAUTO2024-1-00250</t>
  </si>
  <si>
    <t>ZAAUTO2024-1-00251</t>
  </si>
  <si>
    <t>ZAAUTO2024-1-00252</t>
  </si>
  <si>
    <t>ZAAUTO2024-1-00253</t>
  </si>
  <si>
    <t>ZAAUTO2024-1-00254</t>
  </si>
  <si>
    <t>ZAAUTO2024-1-00255</t>
  </si>
  <si>
    <t>ZAAUTO2024-1-00256</t>
  </si>
  <si>
    <t>ZAAUTO2024-1-00257</t>
  </si>
  <si>
    <t>ZAAUTO2024-1-00258</t>
  </si>
  <si>
    <t>ZAAUTO2024-1-00259</t>
  </si>
  <si>
    <t>ZAAUTO2024-1-00260</t>
  </si>
  <si>
    <t>ZAAUTO2024-1-00261</t>
  </si>
  <si>
    <t>ZAAUTO2024-1-00262</t>
  </si>
  <si>
    <t>ZAAUTO2024-1-00263</t>
  </si>
  <si>
    <t>ZAAUTO2024-1-00264</t>
  </si>
  <si>
    <t>ZAAUTO2024-1-00265</t>
  </si>
  <si>
    <t>ZAAUTO2024-1-00266</t>
  </si>
  <si>
    <t>ZAAUTO2024-1-00267</t>
  </si>
  <si>
    <t>ZAAUTO2024-1-00268</t>
  </si>
  <si>
    <t>ZAAUTO2024-1-00269</t>
  </si>
  <si>
    <t>ZAAUTO2024-1-00270</t>
  </si>
  <si>
    <t>ZAAUTO2024-1-00271</t>
  </si>
  <si>
    <t>ZAAUTO2024-1-00272</t>
  </si>
  <si>
    <t>ZAAUTO2024-1-00273</t>
  </si>
  <si>
    <t>ZAAUTO2024-1-00274</t>
  </si>
  <si>
    <t>ZAAUTO2024-1-00275</t>
  </si>
  <si>
    <t>ZAAUTO2024-1-00276</t>
  </si>
  <si>
    <t>ZAAUTO2024-1-00277</t>
  </si>
  <si>
    <t>ZAAUTO2024-1-00278</t>
  </si>
  <si>
    <t>ZAAUTO2024-1-00279</t>
  </si>
  <si>
    <t>ZAAUTO2024-1-00280</t>
  </si>
  <si>
    <t>ZAAUTO2024-1-00281</t>
  </si>
  <si>
    <t>ZAAUTO2024-1-00282</t>
  </si>
  <si>
    <t>ZAAUTO2024-1-00283</t>
  </si>
  <si>
    <t>ZAAUTO2024-1-00284</t>
  </si>
  <si>
    <t>ZAAUTO2024-1-00285</t>
  </si>
  <si>
    <t>ZAAUTO2024-1-00286</t>
  </si>
  <si>
    <t>ZAAUTO2024-1-00287</t>
  </si>
  <si>
    <t>ZAAUTO2024-1-00288</t>
  </si>
  <si>
    <t>ZAAUTO2024-1-00289</t>
  </si>
  <si>
    <t>ZAAUTO2024-1-00290</t>
  </si>
  <si>
    <t>ZAAUTO2024-1-00291</t>
  </si>
  <si>
    <t>ZAAUTO2024-1-00292</t>
  </si>
  <si>
    <t>ZAAUTO2024-1-00293</t>
  </si>
  <si>
    <t>ZAAUTO2024-1-00294</t>
  </si>
  <si>
    <t>ZAAUTO2024-1-00295</t>
  </si>
  <si>
    <t>ZAAUTO2024-1-00296</t>
  </si>
  <si>
    <t>ZAAUTO2024-1-00297</t>
  </si>
  <si>
    <t>ZAAUTO2024-1-00298</t>
  </si>
  <si>
    <t>ZAAUTO2024-1-00299</t>
  </si>
  <si>
    <t>ZAAUTO2024-1-00300</t>
  </si>
  <si>
    <t>ZAAUTO2024-1-00301</t>
  </si>
  <si>
    <t>ZAAUTO2024-1-00302</t>
  </si>
  <si>
    <t>ZAAUTO2024-1-00303</t>
  </si>
  <si>
    <t>ZAAUTO2024-1-00304</t>
  </si>
  <si>
    <t>ZAAUTO2024-1-00305</t>
  </si>
  <si>
    <t>ZAAUTO2024-1-00306</t>
  </si>
  <si>
    <t>ZAAUTO2024-1-00307</t>
  </si>
  <si>
    <t>ZAAUTO2024-1-00308</t>
  </si>
  <si>
    <t>ZAAUTO2024-1-00309</t>
  </si>
  <si>
    <t>ZAAUTO2024-1-00310</t>
  </si>
  <si>
    <t>ZAAUTO2024-1-00311</t>
  </si>
  <si>
    <t>ZAAUTO2024-1-00312</t>
  </si>
  <si>
    <t>ZAAUTO2024-1-00313</t>
  </si>
  <si>
    <t>ZAAUTO2024-1-00314</t>
  </si>
  <si>
    <t>ZAAUTO2024-1-00315</t>
  </si>
  <si>
    <t>ZAAUTO2024-1-00316</t>
  </si>
  <si>
    <t>ZAAUTO2024-1-00317</t>
  </si>
  <si>
    <t>ZAAUTO2024-1-00318</t>
  </si>
  <si>
    <t>ZAAUTO2024-1-00319</t>
  </si>
  <si>
    <t>ZAAUTO2024-1-00320</t>
  </si>
  <si>
    <t>ZAAUTO2024-1-00321</t>
  </si>
  <si>
    <t>ZAAUTO2024-1-00322</t>
  </si>
  <si>
    <t>ZAAUTO2024-1-00323</t>
  </si>
  <si>
    <t>ZAAUTO2024-1-00324</t>
  </si>
  <si>
    <t>ZAAUTO2024-1-00325</t>
  </si>
  <si>
    <t>ZAAUTO2024-1-00326</t>
  </si>
  <si>
    <t>ZAAUTO2024-1-00327</t>
  </si>
  <si>
    <t>ZAAUTO2024-1-00328</t>
  </si>
  <si>
    <t>ZAAUTO2024-1-00329</t>
  </si>
  <si>
    <t>ZAAUTO2024-1-00330</t>
  </si>
  <si>
    <t>ZAAUTO2024-1-00331</t>
  </si>
  <si>
    <t>ZAAUTO2024-1-00332</t>
  </si>
  <si>
    <t>ZAAUTO2024-1-00333</t>
  </si>
  <si>
    <t>ZAAUTO2024-1-00334</t>
  </si>
  <si>
    <t>ZAAUTO2024-1-00335</t>
  </si>
  <si>
    <t>ZAAUTO2024-1-00336</t>
  </si>
  <si>
    <t>ZAAUTO2024-1-00337</t>
  </si>
  <si>
    <t>ZAAUTO2024-1-00338</t>
  </si>
  <si>
    <t>ZAAUTO2024-1-00339</t>
  </si>
  <si>
    <t>ZAAUTO2024-1-00340</t>
  </si>
  <si>
    <t>ZAAUTO2024-1-00341</t>
  </si>
  <si>
    <t>ZAAUTO2024-1-00342</t>
  </si>
  <si>
    <t>ZAAUTO2024-1-00343</t>
  </si>
  <si>
    <t>ZAAUTO2024-1-00344</t>
  </si>
  <si>
    <t>ZAAUTO2024-1-00345</t>
  </si>
  <si>
    <t>ZAAUTO2024-1-00346</t>
  </si>
  <si>
    <t>ZAAUTO2024-1-00347</t>
  </si>
  <si>
    <t>ZAAUTO2024-1-00348</t>
  </si>
  <si>
    <t>ZAAUTO2024-1-00349</t>
  </si>
  <si>
    <t>ZAAUTO2024-1-00350</t>
  </si>
  <si>
    <t>ZAAUTO2024-1-00351</t>
  </si>
  <si>
    <t>ZAAUTO2024-1-00352</t>
  </si>
  <si>
    <t>ZAAUTO2024-1-00353</t>
  </si>
  <si>
    <t>ZAAUTO2024-1-00354</t>
  </si>
  <si>
    <t>ZAAUTO2024-1-00355</t>
  </si>
  <si>
    <t>ZAAUTO2024-1-00356</t>
  </si>
  <si>
    <t>ZAAUTO2024-1-00357</t>
  </si>
  <si>
    <t>ZAAUTO2024-1-00358</t>
  </si>
  <si>
    <t>ZAAUTO2024-1-00359</t>
  </si>
  <si>
    <t>ZAAUTO2024-1-00360</t>
  </si>
  <si>
    <t>ZAAUTO2024-1-00361</t>
  </si>
  <si>
    <t>ZAAUTO2024-1-00362</t>
  </si>
  <si>
    <t>ZAAUTO2024-1-00363</t>
  </si>
  <si>
    <t>ZAAUTO2024-1-00364</t>
  </si>
  <si>
    <t>ZAAUTO2024-1-00365</t>
  </si>
  <si>
    <t>ZAAUTO2024-1-00366</t>
  </si>
  <si>
    <t>ZAAUTO2024-1-00367</t>
  </si>
  <si>
    <t>ZAAUTO2024-1-00368</t>
  </si>
  <si>
    <t>ZAAUTO2024-1-00369</t>
  </si>
  <si>
    <t>ZAAUTO2024-1-00370</t>
  </si>
  <si>
    <t>ZAAUTO2024-1-00371</t>
  </si>
  <si>
    <t>ZAAUTO2024-1-00372</t>
  </si>
  <si>
    <t>ZAAUTO2024-1-00373</t>
  </si>
  <si>
    <t>ZAAUTO2024-1-00374</t>
  </si>
  <si>
    <t>ZAAUTO2024-1-00375</t>
  </si>
  <si>
    <t>ZAAUTO2024-1-00376</t>
  </si>
  <si>
    <t>ZAAUTO2024-1-00377</t>
  </si>
  <si>
    <t>ZAAUTO2024-1-00378</t>
  </si>
  <si>
    <t>ZAAUTO2024-1-00379</t>
  </si>
  <si>
    <t>ZAAUTO2024-1-00380</t>
  </si>
  <si>
    <t>ZAAUTO2024-1-00381</t>
  </si>
  <si>
    <t>ZAAUTO2024-1-00382</t>
  </si>
  <si>
    <t>ZAAUTO2024-1-00383</t>
  </si>
  <si>
    <t>ZAAUTO2024-1-00384</t>
  </si>
  <si>
    <t>ZAAUTO2024-1-00385</t>
  </si>
  <si>
    <t>ZAAUTO2024-1-00386</t>
  </si>
  <si>
    <t>ZAAUTO2024-1-00387</t>
  </si>
  <si>
    <t>ZAAUTO2024-1-00388</t>
  </si>
  <si>
    <t>ZAAUTO2024-1-00389</t>
  </si>
  <si>
    <t>ZAAUTO2024-1-00390</t>
  </si>
  <si>
    <t>ZAAUTO2024-1-00391</t>
  </si>
  <si>
    <t>ZAAUTO2024-1-00392</t>
  </si>
  <si>
    <t>ZAAUTO2024-1-00393</t>
  </si>
  <si>
    <t>ZAAUTO2024-1-00394</t>
  </si>
  <si>
    <t>ZAAUTO2024-1-00395</t>
  </si>
  <si>
    <t>ZAAUTO2024-1-00396</t>
  </si>
  <si>
    <t>ZAAUTO2024-1-00397</t>
  </si>
  <si>
    <t>ZAAUTO2024-1-00398</t>
  </si>
  <si>
    <t>ZAAUTO2024-1-00399</t>
  </si>
  <si>
    <t>ZAAUTO2024-1-00400</t>
  </si>
  <si>
    <t>ZAAUTO2024-1-00401</t>
  </si>
  <si>
    <t>ZAAUTO2024-1-00402</t>
  </si>
  <si>
    <t>ZAAUTO2024-1-00403</t>
  </si>
  <si>
    <t>ZAAUTO2024-1-00404</t>
  </si>
  <si>
    <t>ZAAUTO2024-1-00405</t>
  </si>
  <si>
    <t>ZAAUTO2024-1-00406</t>
  </si>
  <si>
    <t>ZAAUTO2024-1-00407</t>
  </si>
  <si>
    <t>ZAAUTO2024-1-00408</t>
  </si>
  <si>
    <t>ZAAUTO2024-1-00409</t>
  </si>
  <si>
    <t>ZAAUTO2024-1-00410</t>
  </si>
  <si>
    <t>ZAAUTO2024-1-00411</t>
  </si>
  <si>
    <t>ZAAUTO2024-1-00412</t>
  </si>
  <si>
    <t>ZAAUTO2024-1-00413</t>
  </si>
  <si>
    <t>ZAAUTO2024-1-00414</t>
  </si>
  <si>
    <t>ZAAUTO2024-1-00415</t>
  </si>
  <si>
    <t>ZAAUTO2024-1-00416</t>
  </si>
  <si>
    <t>ZAAUTO2024-1-00417</t>
  </si>
  <si>
    <t>ZAAUTO2024-1-00418</t>
  </si>
  <si>
    <t>ZAAUTO2024-1-00419</t>
  </si>
  <si>
    <t>ZAAUTO2024-1-00420</t>
  </si>
  <si>
    <t>ZAAUTO2024-1-00421</t>
  </si>
  <si>
    <t>ZAAUTO2024-1-00422</t>
  </si>
  <si>
    <t>ZAAUTO2024-1-00423</t>
  </si>
  <si>
    <t>ZAAUTO2024-1-00424</t>
  </si>
  <si>
    <t>ZAAUTO2024-1-00425</t>
  </si>
  <si>
    <t>ZAAUTO2024-1-00426</t>
  </si>
  <si>
    <t>ZAAUTO2024-1-00427</t>
  </si>
  <si>
    <t>ZAAUTO2024-1-00428</t>
  </si>
  <si>
    <t>ZAAUTO2024-1-00429</t>
  </si>
  <si>
    <t>ZAAUTO2024-1-00430</t>
  </si>
  <si>
    <t>ZAAUTO2024-1-00431</t>
  </si>
  <si>
    <t>ZAAUTO2024-1-00432</t>
  </si>
  <si>
    <t>ZAAUTO2024-1-00433</t>
  </si>
  <si>
    <t>ZAAUTO2024-1-00434</t>
  </si>
  <si>
    <t>ZAAUTO2024-1-00435</t>
  </si>
  <si>
    <t>ZAAUTO2024-1-00436</t>
  </si>
  <si>
    <t>ZAAUTO2024-1-00437</t>
  </si>
  <si>
    <t>ZAAUTO2024-1-00438</t>
  </si>
  <si>
    <t>ZAAUTO2024-1-00439</t>
  </si>
  <si>
    <t>ZAAUTO2024-1-00440</t>
  </si>
  <si>
    <t>ZAAUTO2024-1-00441</t>
  </si>
  <si>
    <t>ZAAUTO2024-1-00442</t>
  </si>
  <si>
    <t>ZAAUTO2024-1-00443</t>
  </si>
  <si>
    <t>ZAAUTO2024-1-00444</t>
  </si>
  <si>
    <t>ZAAUTO2024-1-00445</t>
  </si>
  <si>
    <t>ZAAUTO2024-1-00446</t>
  </si>
  <si>
    <t>ZAAUTO2024-1-00447</t>
  </si>
  <si>
    <t>ZAAUTO2024-1-00448</t>
  </si>
  <si>
    <t>ZAAUTO2024-1-00449</t>
  </si>
  <si>
    <t>ZAAUTO2024-1-00450</t>
  </si>
  <si>
    <t>ZAAUTO2024-1-00451</t>
  </si>
  <si>
    <t>ZAAUTO2024-1-00452</t>
  </si>
  <si>
    <t>ZAAUTO2024-1-00453</t>
  </si>
  <si>
    <t>ZAAUTO2024-1-00454</t>
  </si>
  <si>
    <t>ZAAUTO2024-1-00455</t>
  </si>
  <si>
    <t>ZAAUTO2024-1-00456</t>
  </si>
  <si>
    <t>ZAAUTO2024-1-00457</t>
  </si>
  <si>
    <t>ZAAUTO2024-1-00458</t>
  </si>
  <si>
    <t>ZAAUTO2024-1-00459</t>
  </si>
  <si>
    <t>ZAAUTO2024-1-00460</t>
  </si>
  <si>
    <t>ZAAUTO2024-1-00461</t>
  </si>
  <si>
    <t>ZAAUTO2024-1-00462</t>
  </si>
  <si>
    <t>ZAAUTO2024-1-00463</t>
  </si>
  <si>
    <t>ZAAUTO2024-1-00464</t>
  </si>
  <si>
    <t>ZAAUTO2024-1-00465</t>
  </si>
  <si>
    <t>ZAAUTO2024-1-00466</t>
  </si>
  <si>
    <t>ZAAUTO2024-1-00467</t>
  </si>
  <si>
    <t>ZAAUTO2024-1-00468</t>
  </si>
  <si>
    <t>ZAAUTO2024-1-00469</t>
  </si>
  <si>
    <t>ZAAUTO2024-1-00470</t>
  </si>
  <si>
    <t>ZAAUTO2024-1-00471</t>
  </si>
  <si>
    <t>ZAAUTO2024-1-00472</t>
  </si>
  <si>
    <t>ZAAUTO2024-1-00473</t>
  </si>
  <si>
    <t>ZAAUTO2024-1-00474</t>
  </si>
  <si>
    <t>ZAAUTO2024-1-00475</t>
  </si>
  <si>
    <t>ZAAUTO2024-1-00476</t>
  </si>
  <si>
    <t>ZAAUTO2024-1-00477</t>
  </si>
  <si>
    <t>ZAAUTO2024-1-00478</t>
  </si>
  <si>
    <t>ZAAUTO2024-1-00479</t>
  </si>
  <si>
    <t>ZAAUTO2024-1-00480</t>
  </si>
  <si>
    <t>ZAAUTO2024-1-00481</t>
  </si>
  <si>
    <t>ZAAUTO2024-1-00482</t>
  </si>
  <si>
    <t>ZAAUTO2024-1-00483</t>
  </si>
  <si>
    <t>ZAAUTO2024-1-00484</t>
  </si>
  <si>
    <t>ZAAUTO2024-1-00485</t>
  </si>
  <si>
    <t>ZAAUTO2024-1-00486</t>
  </si>
  <si>
    <t>ZAAUTO2024-1-00487</t>
  </si>
  <si>
    <t>ZAAUTO2024-1-00488</t>
  </si>
  <si>
    <t>ZAAUTO2024-1-00489</t>
  </si>
  <si>
    <t>ZAAUTO2024-1-00490</t>
  </si>
  <si>
    <t>ZAAUTO2024-1-00491</t>
  </si>
  <si>
    <t>ZAAUTO2024-1-00492</t>
  </si>
  <si>
    <t>ZAAUTO2024-1-00493</t>
  </si>
  <si>
    <t>ZAAUTO2024-1-00494</t>
  </si>
  <si>
    <t>ZAAUTO2024-1-00495</t>
  </si>
  <si>
    <t>ZAAUTO2024-1-00496</t>
  </si>
  <si>
    <t>ZAAUTO2024-1-00497</t>
  </si>
  <si>
    <t>ZAAUTO2024-1-00498</t>
  </si>
  <si>
    <t>ZAAUTO2024-1-00499</t>
  </si>
  <si>
    <t>ZAAUTO2024-1-00500</t>
  </si>
  <si>
    <t>Power BI ECL</t>
  </si>
  <si>
    <t>TOTAL</t>
  </si>
  <si>
    <t>Item</t>
  </si>
  <si>
    <t>Power BI Value</t>
  </si>
  <si>
    <t>Validation / Note</t>
  </si>
  <si>
    <t>Total Collections</t>
  </si>
  <si>
    <t>Senior Fees</t>
  </si>
  <si>
    <t>Senior Interest</t>
  </si>
  <si>
    <t>Senior Principal</t>
  </si>
  <si>
    <t>Mezzanine Interest</t>
  </si>
  <si>
    <t>Mezzanine Principal</t>
  </si>
  <si>
    <t>Equity Residual</t>
  </si>
  <si>
    <t>Total Waterfall Allocated</t>
  </si>
  <si>
    <t>Waterfall Check</t>
  </si>
  <si>
    <t xml:space="preserve">Power BI </t>
  </si>
  <si>
    <t>Measure Name</t>
  </si>
  <si>
    <t>Category</t>
  </si>
  <si>
    <t>Business Purpose</t>
  </si>
  <si>
    <t>DAX Formula / Logic</t>
  </si>
  <si>
    <t>Output</t>
  </si>
  <si>
    <t>Portfolio</t>
  </si>
  <si>
    <t>Total Outstanding</t>
  </si>
  <si>
    <t>Sr. No</t>
  </si>
  <si>
    <t>Measures total outstanding loan balance in the portfolio.</t>
  </si>
  <si>
    <t>Currency</t>
  </si>
  <si>
    <t>SUM(DimLoan[CurrentBalance])</t>
  </si>
  <si>
    <t>Current Balance</t>
  </si>
  <si>
    <t>Original Balance</t>
  </si>
  <si>
    <t>Measures the latest available point-in-time portfolio balance.</t>
  </si>
  <si>
    <t>Measures the original balance of loans at origination.</t>
  </si>
  <si>
    <t>Total Loans</t>
  </si>
  <si>
    <t>Counts unique loans in the portfolio.</t>
  </si>
  <si>
    <t>Count</t>
  </si>
  <si>
    <t>Active Loans</t>
  </si>
  <si>
    <t>Counts loans that are not currently defaulted.</t>
  </si>
  <si>
    <t>Defaulted Loans</t>
  </si>
  <si>
    <t>Counts loans currently marked as defaulted.</t>
  </si>
  <si>
    <t>Average Loan Balance</t>
  </si>
  <si>
    <t>Measures average outstanding balance per loan.</t>
  </si>
  <si>
    <t>MTD Current Balance</t>
  </si>
  <si>
    <t>Time Intelligence</t>
  </si>
  <si>
    <t>Measures latest available balance within the current month.</t>
  </si>
  <si>
    <t>YTD Current Balance</t>
  </si>
  <si>
    <t>Measures latest available balance within the current year.</t>
  </si>
  <si>
    <t>QTD Current Balance</t>
  </si>
  <si>
    <t>Measures latest available balance within the current quarter.</t>
  </si>
  <si>
    <t>MoM Balance %</t>
  </si>
  <si>
    <t>Measures month-over-month change in outstanding balance.</t>
  </si>
  <si>
    <t>Percentage</t>
  </si>
  <si>
    <t>MoM Balance % Trend</t>
  </si>
  <si>
    <t>Provides monthly balance change for trend analysis.</t>
  </si>
  <si>
    <t>YoY Balance %</t>
  </si>
  <si>
    <t>Measures year-over-year change in portfolio balance.</t>
  </si>
  <si>
    <t>Monthly Snapshot Balance</t>
  </si>
  <si>
    <t>Provides balance for each available monthly snapshot.</t>
  </si>
  <si>
    <t>Monthly Prior Year Balance</t>
  </si>
  <si>
    <t>Provides prior-year balance for comparison.</t>
  </si>
  <si>
    <t>Rolling 3M Balance</t>
  </si>
  <si>
    <t>Measures the rolling three-month portfolio balance.</t>
  </si>
  <si>
    <t>Rolling 12M Balance</t>
  </si>
  <si>
    <t>Measures the rolling twelve-month portfolio balance.</t>
  </si>
  <si>
    <t>12M Balance Std Dev</t>
  </si>
  <si>
    <t>Measures portfolio balance volatility over twelve months.</t>
  </si>
  <si>
    <t>Trend Alert</t>
  </si>
  <si>
    <t>Identifies unusually large portfolio balance movements.</t>
  </si>
  <si>
    <t>Status</t>
  </si>
  <si>
    <t>Show Available Snapshot</t>
  </si>
  <si>
    <t>Validation</t>
  </si>
  <si>
    <t>Prevents future dates without available performance data from appearing.</t>
  </si>
  <si>
    <t>0/1</t>
  </si>
  <si>
    <t>Current DPD</t>
  </si>
  <si>
    <t>Delinquency</t>
  </si>
  <si>
    <t>Measures loans currently performing without delinquency.</t>
  </si>
  <si>
    <t>DPD = 0</t>
  </si>
  <si>
    <t>30+ DPD Balance</t>
  </si>
  <si>
    <t>Measures balance more than 30 days past due.</t>
  </si>
  <si>
    <t>60+ DPD Balance</t>
  </si>
  <si>
    <t>Measures balance more than 60 days past due.</t>
  </si>
  <si>
    <t>90+ DPD Balance</t>
  </si>
  <si>
    <t>Measures balance more than 90 days past due.</t>
  </si>
  <si>
    <t>30+ DPD %</t>
  </si>
  <si>
    <t>Measures 30+ DPD balance as a percentage of the portfolio.</t>
  </si>
  <si>
    <t>60+ DPD %</t>
  </si>
  <si>
    <t>Measures 60+ DPD balance as a percentage of the portfolio.</t>
  </si>
  <si>
    <t>90+ DPD %</t>
  </si>
  <si>
    <t>Measures 90+ DPD balance as a percentage of the portfolio.</t>
  </si>
  <si>
    <t>DPD % of Pool</t>
  </si>
  <si>
    <t>Measures each DPD bucket's share of total pool balance.</t>
  </si>
  <si>
    <t>DPD Loan Count</t>
  </si>
  <si>
    <t>Counts loans within each DPD bucket.</t>
  </si>
  <si>
    <t>Default Rate</t>
  </si>
  <si>
    <t>Measures default exposure relative to portfolio balance.</t>
  </si>
  <si>
    <t>DPD Trigger Status</t>
  </si>
  <si>
    <t>Early Warning</t>
  </si>
  <si>
    <t>Monitors delinquency against the defined trigger threshold.</t>
  </si>
  <si>
    <t>Compare DPD % with trigger</t>
  </si>
  <si>
    <t>Delinquency Trigger Status</t>
  </si>
  <si>
    <t>Identifies whether delinquency exceeds the transaction trigger.</t>
  </si>
  <si>
    <t>Delinquency Headroom</t>
  </si>
  <si>
    <t>Measures remaining capacity before delinquency trigger breach.</t>
  </si>
  <si>
    <t>Trigger − Current Delinquency</t>
  </si>
  <si>
    <t>WAC</t>
  </si>
  <si>
    <t>Pool Statistics</t>
  </si>
  <si>
    <t>Measures the weighted average interest coupon of the pool.</t>
  </si>
  <si>
    <t>WAM</t>
  </si>
  <si>
    <t>Measures weighted average remaining loan term.</t>
  </si>
  <si>
    <t>Months</t>
  </si>
  <si>
    <t>WALA</t>
  </si>
  <si>
    <t>Measures weighted average loan seasoning.</t>
  </si>
  <si>
    <t>Weighted Average LTV</t>
  </si>
  <si>
    <t>Measures current weighted average loan-to-value ratio.</t>
  </si>
  <si>
    <t>Weighted Average CIBIL</t>
  </si>
  <si>
    <t>Measures weighted average borrower credit score.</t>
  </si>
  <si>
    <t>Score</t>
  </si>
  <si>
    <t>Weighted Average DTI</t>
  </si>
  <si>
    <t>Measures weighted average borrower debt-to-income ratio.</t>
  </si>
  <si>
    <t>Portfolio Weighted LTV</t>
  </si>
  <si>
    <t>Provides portfolio-level weighted LTV.</t>
  </si>
  <si>
    <t>Portfolio Weighted CIBIL</t>
  </si>
  <si>
    <t>Provides portfolio-level weighted CIBIL score.</t>
  </si>
  <si>
    <t>Portfolio Weighted DTI</t>
  </si>
  <si>
    <t>Provides portfolio-level weighted DTI.</t>
  </si>
  <si>
    <t>Top 10 Borrower Balance</t>
  </si>
  <si>
    <t>Concentration</t>
  </si>
  <si>
    <t>Measures outstanding exposure to the ten largest borrowers.</t>
  </si>
  <si>
    <t>Top 10 Borrower %</t>
  </si>
  <si>
    <t>Measures concentration of the ten largest borrowers.</t>
  </si>
  <si>
    <t>Top 5 State Balance</t>
  </si>
  <si>
    <t>Measures exposure to the five largest states.</t>
  </si>
  <si>
    <t>Top 5 State %</t>
  </si>
  <si>
    <t>Measures geographic concentration in the five largest states.</t>
  </si>
  <si>
    <t>Loan Count per Band</t>
  </si>
  <si>
    <t>Stratification</t>
  </si>
  <si>
    <t>Counts loans within each risk/portfolio band.</t>
  </si>
  <si>
    <t>DISTINCTCOUNT LoanID by band</t>
  </si>
  <si>
    <t>DTI Loan Count</t>
  </si>
  <si>
    <t>Counts loans across DTI categories.</t>
  </si>
  <si>
    <t>LTV % of Pool</t>
  </si>
  <si>
    <t>Measures balance concentration within each LTV band.</t>
  </si>
  <si>
    <t>Seasoning % of Pool</t>
  </si>
  <si>
    <t>Measures balance concentration by seasoning band.</t>
  </si>
  <si>
    <t>Original Term % of Pool</t>
  </si>
  <si>
    <t>Measures balance concentration by original term.</t>
  </si>
  <si>
    <t>Interest Rate % of Pool</t>
  </si>
  <si>
    <t>Measures balance concentration by interest-rate band.</t>
  </si>
  <si>
    <t>Vintage Original Pool Balance</t>
  </si>
  <si>
    <t>Vintage</t>
  </si>
  <si>
    <t>Measures original balance for each vintage cohort.</t>
  </si>
  <si>
    <t>Vintage Original Loan Count</t>
  </si>
  <si>
    <t>Counts loans originated in each vintage.</t>
  </si>
  <si>
    <t>Vintage Current Balance</t>
  </si>
  <si>
    <t>Measures remaining balance for each vintage.</t>
  </si>
  <si>
    <t>Vintage Cumulative Default Count</t>
  </si>
  <si>
    <t>Measures cumulative defaults by vintage.</t>
  </si>
  <si>
    <t>Vintage Cumulative Default Balance</t>
  </si>
  <si>
    <t>Measures cumulative defaulted balance by vintage.</t>
  </si>
  <si>
    <t>Vintage Cumulative Gross Loss</t>
  </si>
  <si>
    <t>Measures cumulative gross losses by vintage.</t>
  </si>
  <si>
    <t>Vintage Cumulative Recoveries</t>
  </si>
  <si>
    <t>Measures cumulative recoveries by vintage.</t>
  </si>
  <si>
    <t>Vintage Cumulative Net Loss</t>
  </si>
  <si>
    <t>Measures cumulative net loss after recoveries.</t>
  </si>
  <si>
    <t>Vintage Cumulative Net Loss Rate</t>
  </si>
  <si>
    <t>Measures cumulative net loss relative to original balance.</t>
  </si>
  <si>
    <t>Vintage Cumulative Default Rate</t>
  </si>
  <si>
    <t>Measures cumulative defaults relative to original balance.</t>
  </si>
  <si>
    <t>Vintage Cumulative Prepayments</t>
  </si>
  <si>
    <t>Measures cumulative prepayment amount by vintage.</t>
  </si>
  <si>
    <t>Vintage Pool Factor</t>
  </si>
  <si>
    <t>Measures remaining pool balance as a proportion of original balance.</t>
  </si>
  <si>
    <t>Vintage Current 30+ Delinq</t>
  </si>
  <si>
    <t>Measures current 30+ delinquency for each vintage.</t>
  </si>
  <si>
    <t>Marginal Monthly Loss Rate</t>
  </si>
  <si>
    <t>Measures incremental monthly change in cumulative net loss rate.</t>
  </si>
  <si>
    <t>Total EAD</t>
  </si>
  <si>
    <t>ECL</t>
  </si>
  <si>
    <t>Measures total exposure at default.</t>
  </si>
  <si>
    <t>Total ECL Provision</t>
  </si>
  <si>
    <t>Measures the provision recorded for expected credit losses.</t>
  </si>
  <si>
    <t>Independently calculates expected credit loss using PD × LGD × EAD.</t>
  </si>
  <si>
    <t>ECL Variance</t>
  </si>
  <si>
    <t>Measures difference between provision and independently calculated ECL.</t>
  </si>
  <si>
    <t>ECL Variance %</t>
  </si>
  <si>
    <t>Measures relative difference between provision and calculated ECL.</t>
  </si>
  <si>
    <t>Stage 1 ECL</t>
  </si>
  <si>
    <t>Measures ECL provision for IFRS 9 Stage 1 loans.</t>
  </si>
  <si>
    <t>Stage 2 ECL</t>
  </si>
  <si>
    <t>Measures ECL provision for IFRS 9 Stage 2 loans.</t>
  </si>
  <si>
    <t>Stage 3 ECL</t>
  </si>
  <si>
    <t>Measures ECL provision for IFRS 9 Stage 3 loans.</t>
  </si>
  <si>
    <t>ECL Coverage %</t>
  </si>
  <si>
    <t>Measures ECL provision relative to total EAD.</t>
  </si>
  <si>
    <t>Stressed ECL</t>
  </si>
  <si>
    <t>Measures ECL under defined stress assumptions.</t>
  </si>
  <si>
    <t>ECL Stress Increase</t>
  </si>
  <si>
    <t>Measures absolute increase in ECL under stress.</t>
  </si>
  <si>
    <t>ECL Stress Increase %</t>
  </si>
  <si>
    <t>Measures percentage increase in ECL under stress.</t>
  </si>
  <si>
    <t>Stress Adjusted ECL</t>
  </si>
  <si>
    <t>Stress Testing</t>
  </si>
  <si>
    <t>Calculates ECL using user-selected stress multipliers.</t>
  </si>
  <si>
    <t>Stress Adjusted ECL Coverage</t>
  </si>
  <si>
    <t>Measures stressed ECL relative to total EAD.</t>
  </si>
  <si>
    <t>Waterfall Total Collections</t>
  </si>
  <si>
    <t>Waterfall</t>
  </si>
  <si>
    <t>Measures cash available for waterfall allocation.</t>
  </si>
  <si>
    <t>Measures fees paid to the senior position.</t>
  </si>
  <si>
    <t>Measures senior tranche interest allocation.</t>
  </si>
  <si>
    <t>Senior Rate × Senior Balance</t>
  </si>
  <si>
    <t>Measures principal allocated to senior tranche.</t>
  </si>
  <si>
    <t>Waterfall priority allocation</t>
  </si>
  <si>
    <t>Cash After Senior</t>
  </si>
  <si>
    <t>Measures cash remaining after senior allocations.</t>
  </si>
  <si>
    <t>Measures mezzanine interest allocation.</t>
  </si>
  <si>
    <t>Mezz Rate × Mezz Balance</t>
  </si>
  <si>
    <t>Measures principal allocated to mezzanine tranche.</t>
  </si>
  <si>
    <t>Residual to Equity</t>
  </si>
  <si>
    <t>Measures cash remaining for equity after senior and mezzanine payments.</t>
  </si>
  <si>
    <t>Reconciles all waterfall allocations to available collections.</t>
  </si>
  <si>
    <t>Checks whether waterfall cash allocation reconciles.</t>
  </si>
  <si>
    <t>0 = Valid</t>
  </si>
  <si>
    <t>Senior OC Ratio</t>
  </si>
  <si>
    <t>Measures senior overcollateralisation protection.</t>
  </si>
  <si>
    <t>Ratio</t>
  </si>
  <si>
    <t>Mezz OC Ratio</t>
  </si>
  <si>
    <t>Measures mezzanine overcollateralisation protection.</t>
  </si>
  <si>
    <t>Senior IC Ratio</t>
  </si>
  <si>
    <t>Measures senior interest coverage.</t>
  </si>
  <si>
    <t>Mezz IC Ratio</t>
  </si>
  <si>
    <t>Measures mezzanine interest coverage.</t>
  </si>
  <si>
    <t>Reserve Adequacy</t>
  </si>
  <si>
    <t>Measures whether reserve funds are sufficient.</t>
  </si>
  <si>
    <t>Credit Enhancement %</t>
  </si>
  <si>
    <t>Measures total credit enhancement supporting the senior position.</t>
  </si>
  <si>
    <t>Unallocated Cash</t>
  </si>
  <si>
    <t>Identifies cash not allocated by the waterfall.</t>
  </si>
  <si>
    <t>Allocation Check %</t>
  </si>
  <si>
    <t>Measures percentage of collections allocated through the waterfall.</t>
  </si>
  <si>
    <t>Waterfall Validation</t>
  </si>
  <si>
    <t>Provides overall waterfall reconciliation status.</t>
  </si>
  <si>
    <t>VALID/CHECK REQUIRED</t>
  </si>
  <si>
    <t>Senior OC Trigger Status</t>
  </si>
  <si>
    <t>Triggers</t>
  </si>
  <si>
    <t>Monitors senior OC against its contractual trigger.</t>
  </si>
  <si>
    <t>PASS/FAIL</t>
  </si>
  <si>
    <t>Mezz OC Trigger Status</t>
  </si>
  <si>
    <t>Monitors mezzanine OC against its trigger.</t>
  </si>
  <si>
    <t>Senior IC Trigger Status</t>
  </si>
  <si>
    <t>Monitors senior interest coverage against trigger.</t>
  </si>
  <si>
    <t>Mezz IC Trigger Status</t>
  </si>
  <si>
    <t>Monitors mezzanine interest coverage against trigger.</t>
  </si>
  <si>
    <t>Monitors delinquency against trigger threshold.</t>
  </si>
  <si>
    <t>Cumulative Loss Trigger Status</t>
  </si>
  <si>
    <t>Monitors cumulative losses against trigger threshold.</t>
  </si>
  <si>
    <t>Overall Trigger Status</t>
  </si>
  <si>
    <t>Provides consolidated transaction trigger status.</t>
  </si>
  <si>
    <t>Senior IC Proximity %</t>
  </si>
  <si>
    <t>Measures senior IC position relative to trigger threshold.</t>
  </si>
  <si>
    <t>Mezz IC Proximity %</t>
  </si>
  <si>
    <t>Measures mezzanine IC position relative to trigger threshold.</t>
  </si>
  <si>
    <t>Senior IC Trigger Headroom</t>
  </si>
  <si>
    <t>Measures remaining senior IC capacity relative to trigger.</t>
  </si>
  <si>
    <t>Ratio vs trigger</t>
  </si>
  <si>
    <t>Mezz IC Trigger Headroom</t>
  </si>
  <si>
    <t>Measures remaining mezzanine IC capacity relative to trigger.</t>
  </si>
  <si>
    <t>Cumulative Loss Headroom</t>
  </si>
  <si>
    <t>Measures remaining capacity before cumulative-loss trigger.</t>
  </si>
  <si>
    <t>Trigger vs current loss</t>
  </si>
  <si>
    <t>Overall Waterfall Status</t>
  </si>
  <si>
    <t>Provides consolidated waterfall/trigger status.</t>
  </si>
  <si>
    <t>Combine waterfall and trigger checks</t>
  </si>
  <si>
    <t>Selected Default Rate Multiplier</t>
  </si>
  <si>
    <t>Captures user-selected default rate stress.</t>
  </si>
  <si>
    <t>Multiple</t>
  </si>
  <si>
    <t>Selected Recovery Rate Haircut</t>
  </si>
  <si>
    <t>Captures user-selected recovery haircut.</t>
  </si>
  <si>
    <t>Selected Prepayment Speed Change</t>
  </si>
  <si>
    <t>Captures user-selected prepayment stress.</t>
  </si>
  <si>
    <t>Selected Interest Rate Shock</t>
  </si>
  <si>
    <t>Captures user-selected interest-rate shock.</t>
  </si>
  <si>
    <t>Stress Scenario</t>
  </si>
  <si>
    <t>Defines Base, Moderate, Severe and Extreme scenarios.</t>
  </si>
  <si>
    <t>Scenario</t>
  </si>
  <si>
    <t>Selected PD Shock</t>
  </si>
  <si>
    <t>Returns PD shock for selected scenario.</t>
  </si>
  <si>
    <t>Selected LGD Shock</t>
  </si>
  <si>
    <t>Returns LGD shock for selected scenario.</t>
  </si>
  <si>
    <t>Scenario Adjusted ECL</t>
  </si>
  <si>
    <t>Calculates ECL under selected scenario and What-If assumptions.</t>
  </si>
  <si>
    <t xml:space="preserve">Current Balance = 
VAR LatestDate =
    MAX(FactMonthlyPerformance[SnapshotDate])
RETURN
CALCULATE(
    SUM(FactMonthlyPerformance[CurrentBalance]),
    FactMonthlyPerformance[SnapshotDate] = LatestDate
</t>
  </si>
  <si>
    <t>Original Balance = 
SUM(DimLoan[OriginalLoanAmount])</t>
  </si>
  <si>
    <t>Total Loans = 
DISTINCTCOUNT(DimLoan[LoanID])</t>
  </si>
  <si>
    <t>Active Loans = 
CALCULATE(
    DISTINCTCOUNT(DimLoan[LoanID]),
    FILTER(
        DimLoan,
        LOWER(TRIM(DimLoan[IsDefaulted] &amp; "")) = "false"
    )
)</t>
  </si>
  <si>
    <t>Defaulted Loans = 
CALCULATE(
    DISTINCTCOUNT(DimLoan[LoanID]),
    FILTER(
        DimLoan,
        LOWER(TRIM(DimLoan[IsDefaulted] &amp; "")) = "true"
    )
)</t>
  </si>
  <si>
    <t>Average Loan Balance = 
AVERAGE(DimLoan[CurrentBalance])</t>
  </si>
  <si>
    <t>MTD Current Balance = 
VAR LatestSnapshotDate =
    CALCULATE(
        MAX(FactMonthlyPerformance[SnapshotDate]),
        ALL(FactMonthlyPerformance)
    )
VAR MTDStart =
    DATE(
        YEAR(LatestSnapshotDate),
        MONTH(LatestSnapshotDate),
        1
    )
VAR LatestMTDDate =
    CALCULATE(
        MAX(FactMonthlyPerformance[SnapshotDate]),
        FILTER(
            ALL(FactMonthlyPerformance[SnapshotDate]),
            FactMonthlyPerformance[SnapshotDate] &gt;= MTDStart &amp;&amp;
            FactMonthlyPerformance[SnapshotDate] &lt;= LatestSnapshotDate
        )
    )
RETURN
CALCULATE(
    SUM(FactMonthlyPerformance[CurrentBalance]),
    FactMonthlyPerformance[SnapshotDate] = LatestMTDDate
)</t>
  </si>
  <si>
    <t>YTD Current Balance = 
VAR LatestSnapshotDate =
    CALCULATE(
        MAX(FactMonthlyPerformance[SnapshotDate]),
        ALL(FactMonthlyPerformance)
    )
VAR YTDStart =
    DATE(YEAR(LatestSnapshotDate),1,1)
VAR YTDLatestDate =
    CALCULATE(
        MAX(FactMonthlyPerformance[SnapshotDate]),
        FILTER(
            ALL(FactMonthlyPerformance[SnapshotDate]),
            FactMonthlyPerformance[SnapshotDate] &gt;= YTDStart
                &amp;&amp; FactMonthlyPerformance[SnapshotDate] &lt;= LatestSnapshotDate
        )
    )
RETURN
CALCULATE(
    SUM(FactMonthlyPerformance[CurrentBalance]),
    FactMonthlyPerformance[SnapshotDate] = YTDLatestDate
)</t>
  </si>
  <si>
    <t>QTD Current Balance = 
VAR QTD_Dates =
    DATESQTD(DimDate[Date])
VAR LatestSnapshot =
    CALCULATE(
        MAX(FactMonthlyPerformance[SnapshotDate]),
        QTD_Dates
    )
RETURN
CALCULATE(
    SUM(FactMonthlyPerformance[CurrentBalance]),
    FactMonthlyPerformance[SnapshotDate] = LatestSnapshot
)</t>
  </si>
  <si>
    <t>MoM Balance % = 
VAR CurrentDate =
    CALCULATE(
        MAX(FactMonthlyPerformance[SnapshotDate]),
        ALL(FactMonthlyPerformance)
    )
VAR CurrentBalance =
    CALCULATE(
        SUM(FactMonthlyPerformance[CurrentBalance]),
        FactMonthlyPerformance[SnapshotDate] = CurrentDate
    )
VAR PriorDate =
    CALCULATE(
        MAX(FactMonthlyPerformance[SnapshotDate]),
        FILTER(
            ALL(FactMonthlyPerformance[SnapshotDate]),
            FactMonthlyPerformance[SnapshotDate] &lt; CurrentDate
        )
    )
VAR PriorBalance =
    CALCULATE(
        SUM(FactMonthlyPerformance[CurrentBalance]),
        FactMonthlyPerformance[SnapshotDate] = PriorDate
    )
RETURN
DIVIDE(
    CurrentBalance - PriorBalance,
    PriorBalance
)</t>
  </si>
  <si>
    <t>MoM Balance % Trend = 
VAR CurrentSnapshotDate =
    MAX(FactMonthlyPerformance[SnapshotDate])
VAR CurrentBalance =
    SUM(FactMonthlyPerformance[CurrentBalance])
VAR PriorSnapshotDate =
    CALCULATE(
        MAX(FactMonthlyPerformance[SnapshotDate]),
        REMOVEFILTERS(DimDate),
        FILTER(
            ALL(FactMonthlyPerformance[SnapshotDate]),
            FactMonthlyPerformance[SnapshotDate] &lt; CurrentSnapshotDate
        )
    )
VAR PriorBalance =
    CALCULATE(
        SUM(FactMonthlyPerformance[CurrentBalance]),
        REMOVEFILTERS(DimDate),
        FactMonthlyPerformance[SnapshotDate] = PriorSnapshotDate
    )
RETURN
IF(
    ISBLANK(CurrentSnapshotDate)
        || ISBLANK(PriorSnapshotDate)
        || ISBLANK(PriorBalance),
    BLANK(),
    DIVIDE(
        CurrentBalance - PriorBalance,
        PriorBalance
    )
)</t>
  </si>
  <si>
    <t>YoY Balance % = 
VAR CurrentDate =
    CALCULATE(
        MAX(FactMonthlyPerformance[SnapshotDate]),
        ALL(FactMonthlyPerformance)
    )
VAR CurrentBalance =
    CALCULATE(
        SUM(FactMonthlyPerformance[CurrentBalance]),
        FactMonthlyPerformance[SnapshotDate] = CurrentDate
    )
VAR PriorYearDate =
    CALCULATE(
        MAX(FactMonthlyPerformance[SnapshotDate]),
        FILTER(
            ALL(FactMonthlyPerformance[SnapshotDate]),
            FactMonthlyPerformance[SnapshotDate] &lt;
                DATE(
                    YEAR(CurrentDate),
                    MONTH(CurrentDate),
                    DAY(CurrentDate)
                )
                &amp;&amp;
            YEAR(FactMonthlyPerformance[SnapshotDate]) =
                YEAR(CurrentDate) - 1
        )
    )
VAR PriorYearBalance =
    CALCULATE(
        SUM(FactMonthlyPerformance[CurrentBalance]),
        FactMonthlyPerformance[SnapshotDate] = PriorYearDate
    )
RETURN
DIVIDE(
    CurrentBalance - PriorYearBalance,
    PriorYearBalance
)</t>
  </si>
  <si>
    <t>Monthly Snapshot Balance = 
VAR SnapshotDate =
    MAX(FactMonthlyPerformance[SnapshotDate])
RETURN
CALCULATE(
    SUM(FactMonthlyPerformance[CurrentBalance]),
    FactMonthlyPerformance[SnapshotDate] = SnapshotDate
)</t>
  </si>
  <si>
    <t>Monthly Prior Year Balance = 
VAR CurrentMonth =
    MAX(DimDate[Date])
VAR PriorYearDate =
    EDATE(CurrentMonth, -12)
VAR PriorYearSnapshot =
    CALCULATE(
        MAX(FactMonthlyPerformance[SnapshotDate]),
        REMOVEFILTERS(DimDate),
        FILTER(
            ALL(FactMonthlyPerformance[SnapshotDate]),
            YEAR(FactMonthlyPerformance[SnapshotDate]) = YEAR(PriorYearDate)
                &amp;&amp; MONTH(FactMonthlyPerformance[SnapshotDate]) = MONTH(PriorYearDate)
        )
    )
RETURN
IF(
    ISBLANK(PriorYearSnapshot),
    BLANK(),
    CALCULATE(
        SUM(FactMonthlyPerformance[CurrentBalance]),
        REMOVEFILTERS(DimDate),
        FactMonthlyPerformance[SnapshotDate] = PriorYearSnapshot
    )
)</t>
  </si>
  <si>
    <t>Rolling 3M Balance = 
AVERAGEX(
    DATESINPERIOD(
        DimDate[Date],
        MAX(DimDate[Date]),
        -3,
        MONTH
    ),
    [Monthly Current Balance]
)</t>
  </si>
  <si>
    <t>Rolling 12M Balance = 
AVERAGEX(
    DATESINPERIOD(
        DimDate[Date],
        MAX(DimDate[Date]),
        -12,
        MONTH
    ),
    [Monthly Current Balance]
)</t>
  </si>
  <si>
    <t>12M Balance Std Dev = 
VAR SnapshotDates =
    CALCULATETABLE(
        VALUES(FactMonthlyPerformance[SnapshotDate]),
        DATESINPERIOD(
            DimDate[Date],
            MAX(DimDate[Date]),
            -12,
            MONTH
        )
    )
RETURN
    STDEVX.P(
        SnapshotDates,
        CALCULATE([Monthly Current Balance])
    )</t>
  </si>
  <si>
    <t>Trend Alert = 
VAR CurrentBal = [Current Balance]
VAR RollingBal = [Rolling 12M Balance]
VAR BalanceStd = [12M Balance Std Dev]
VAR BalanceDeviation =
    CurrentBal - RollingBal
RETURN
IF(
    ISBLANK(CurrentBal)
        || ISBLANK(RollingBal)
        || ISBLANK(BalanceStd),
    "NORMAL",
    IF(
        ABS(BalanceDeviation) &gt; 2 * BalanceStd,
        "ALERT",
        "NORMAL"
    )
)</t>
  </si>
  <si>
    <t>Show Available Snapshot = 
VAR LatestSnapshot =
    CALCULATE(
        MAX(FactMonthlyPerformance[SnapshotDate]),
        ALL(FactMonthlyPerformance)
    )
VAR CurrentMonthEnd =
    MAX(DimDate[Date])
RETURN
IF(
    CurrentMonthEnd &lt;= LatestSnapshot,
    1,
    0
)</t>
  </si>
  <si>
    <t>30+ DPD Balance = 
CALCULATE(
    [Total Outstanding],
    FILTER(
        DimLoan,
        VALUE(DimLoan[DelinquencyDays]) &gt; 30
    )
)</t>
  </si>
  <si>
    <t>60+ DPD Balance = 
CALCULATE(
    [Total Outstanding],
    FILTER(
        DimLoan,
        VALUE(DimLoan[DelinquencyDays]) &gt; 60
    )
)</t>
  </si>
  <si>
    <t>90+ DPD Balance = 
CALCULATE(
    [Total Outstanding],
    FILTER(
        DimLoan,
        VALUE(DimLoan[DelinquencyDays]) &gt; 90
    )
)</t>
  </si>
  <si>
    <t>30+ DPD % = 
DIVIDE(
    [30+ DPD Balance],
    [Total Outstanding]
)</t>
  </si>
  <si>
    <t>60+ DPD % = 
DIVIDE(
    [60+ DPD Balance],
    [Total Outstanding]
)</t>
  </si>
  <si>
    <t>90+ DPD % = 
DIVIDE(
    [90+ DPD Balance],
    [Total Outstanding]
)</t>
  </si>
  <si>
    <t>DPD % of Pool = 
VAR BucketBalance =
    SUM(FactDPDSnapshot[CurrentBalance])
VAR TotalPoolBalance =
    CALCULATE(
        SUM(FactDPDSnapshot[CurrentBalance]),
        REMOVEFILTERS(DimDPDBucket),
        REMOVEFILTERS(FactDPDSnapshot[DPD_Bucket])
    )
RETURN
DIVIDE(
    BucketBalance,
    TotalPoolBalance,
    0
)</t>
  </si>
  <si>
    <t>DPD Loan Count = 
CALCULATE(
    DISTINCTCOUNT(DimLoan[LoanID]),
    ALLEXCEPT(DimLoan, DimLoan[DPD Band])
)</t>
  </si>
  <si>
    <t>Default Rate = 
DIVIDE(
    [Defaulted Loans],
    DISTINCTCOUNT(DimLoan[LoanID])
)</t>
  </si>
  <si>
    <t>Delinquency Trigger Status = 
IF(
    [30+ DPD %] &lt;= 0.05,
    "PASS",
    "FAIL"
)</t>
  </si>
  <si>
    <t>WAC = 
DIVIDE(
    SUMX(
        DimLoan,
        DimLoan[InterestRate] * DimLoan[CurrentBalance]
    ),
    [Total Outstanding] * 100 
)</t>
  </si>
  <si>
    <t>WAM = 
DIVIDE(
    SUMX(
        DimLoan,
        DimLoan[RemainingTerm] * DimLoan[CurrentBalance]
    ),
    [Total Outstanding]
)</t>
  </si>
  <si>
    <t>WALA = 
DIVIDE(
    SUMX(
        DimLoan,
        DimLoan[MonthsOnBook] * DimLoan[CurrentBalance]
    ),
    [Total Outstanding]
)</t>
  </si>
  <si>
    <t>Weighted Average LTV = 
DIVIDE(
    SUMX(
        DimLoan,
        DimLoan[CurrentBalance] * DimLoan[LTV_Current]
    ),
    [Total Outstanding]
)</t>
  </si>
  <si>
    <t>Weighted Average CIBIL = 
DIVIDE(
    SUMX(
        DimLoan,
        RELATED(DimBorrower[CIBIL_Score_Current])
            * DimLoan[CurrentBalance]
    ),
    [Total Outstanding]
)</t>
  </si>
  <si>
    <t>Weighted Average DTI = 
DIVIDE(
    SUMX(
        DimLoan,
        RELATED(DimBorrower[DTI_Ratio])
            * DimLoan[CurrentBalance]
    ),
    [Total Outstanding]
)</t>
  </si>
  <si>
    <t>Portfolio Weighted LTV = 
DIVIDE(
    SUMX(
        DimLoan,
        DimLoan[LTV_Current] * DimLoan[CurrentBalance]
    ),
    [Total Outstanding]
)</t>
  </si>
  <si>
    <t>Portfolio Weighted CIBIL = 
DIVIDE(
    SUMX(
        DimLoan,
        RELATED(DimBorrower[CIBIL_Score_Current])
            * DimLoan[CurrentBalance]
    ),
    [Total Outstanding]
)</t>
  </si>
  <si>
    <t>Portfolio Weighted DTI = 
DIVIDE(
    SUMX(
        DimLoan,
        RELATED(DimBorrower[DTI_Ratio]) * DimLoan[CurrentBalance]
    ),
    [Total Outstanding]
)</t>
  </si>
  <si>
    <t>Top 10 Borrower Balance = 
VAR TopBorrowers =
    TOPN(
        10,
        ADDCOLUMNS(
            VALUES(DimBorrower[BorrowerID]),
            "Balance", CALCULATE([Total Outstanding])
        ),
        [Balance],
        DESC
    )
RETURN
    SUMX(TopBorrowers, [Balance])</t>
  </si>
  <si>
    <t>Top 10 Borrower % = 
DIVIDE(
    [Top 10 Borrower Balance],
    [Total Outstanding]
)</t>
  </si>
  <si>
    <t>Top 5 State Balance = 
VAR TopStates =
    TOPN(
        5,
        ADDCOLUMNS(
            VALUES(DimGeography[State]),
            "Balance", CALCULATE([Total Outstanding])
        ),
        [Balance],
        DESC
    )
RETURN
    SUMX(TopStates, [Balance])</t>
  </si>
  <si>
    <t>Top 5 State % = 
DIVIDE(
    [Top 5 State Balance],
    [Total Outstanding]
)</t>
  </si>
  <si>
    <t>DTI Loan Count = 
CALCULATE(
    DISTINCTCOUNT(DimLoan[LoanID]),
    ALLEXCEPT(DimBorrower, DimBorrower[DTI Band])
)</t>
  </si>
  <si>
    <t>LTV % of Pool = 
DIVIDE(
    [Total Outstanding],
    CALCULATE(
        [Total Outstanding],
        ALLSELECTED(DimLoan[LTV Band])
    )
)</t>
  </si>
  <si>
    <t>Seasoning % of Pool = 
DIVIDE(
    SUM(DimLoan[CurrentBalance]),
    CALCULATE(
        SUM(DimLoan[CurrentBalance]),
        ALL(DimLoan)
    )
)</t>
  </si>
  <si>
    <t>Original Term % of Pool = 
DIVIDE(
    [Total Outstanding],
    CALCULATE(
        [Total Outstanding],
        ALL(DimLoan[Original Term Band])
    )
)</t>
  </si>
  <si>
    <t>Interest Rate % of Pool = 
DIVIDE(
    [Total Outstanding],
    CALCULATE(
        [Total Outstanding],
        ALL(DimLoan[Interest Rate Band])
    )
)</t>
  </si>
  <si>
    <t>Vintage Original Pool Balance = 
SUM(FactStaticPool[OriginalPoolBalance])</t>
  </si>
  <si>
    <t>Vintage Original Loan Count = 
SUM(FactStaticPool[OriginalLoanCount])</t>
  </si>
  <si>
    <t>Vintage Current Balance = 
SUM(FactStaticPool[RemainingPoolBalance])</t>
  </si>
  <si>
    <t>Vintage Cumulative Default Count = 
SUM(FactStaticPool[CumulativeDefaults_Count])</t>
  </si>
  <si>
    <t>Vintage Cumulative Default Balance = 
SUM(FactStaticPool[CumulativeDefaults_Balance])</t>
  </si>
  <si>
    <t>Vintage Cumulative Gross Loss = 
SUM(FactStaticPool[CumulativeGrossLoss])</t>
  </si>
  <si>
    <t>Vintage Cumulative Recoveries = 
SUM(FactStaticPool[CumulativeRecoveries])</t>
  </si>
  <si>
    <t>Vintage Cumulative Net Loss = 
SUM(FactStaticPool[CumulativeNetLoss])</t>
  </si>
  <si>
    <t>Vintage Cumulative Net Loss Rate = 
AVERAGE(FactStaticPool[CumulativeNetLossRate])</t>
  </si>
  <si>
    <t>Vintage Cumulative Default Rate = 
DIVIDE(
    [Vintage Cumulative Default Count],
    [Vintage Original Loan Count]
)</t>
  </si>
  <si>
    <t>Vintage Cumulative Prepayments = 
SUM(FactStaticPool[CumulativePrepayments])</t>
  </si>
  <si>
    <t>Vintage Pool Factor = 
DIVIDE(
    SUM(FactStaticPool[RemainingPoolBalance]),
    [Vintage Original Pool Balance]
)</t>
  </si>
  <si>
    <t>Vintage Current 30+ Delinq = 
AVERAGE(FactStaticPool[CurrentDelinq30Plus])</t>
  </si>
  <si>
    <t>Marginal Monthly Loss Rate = 
VAR CurrentMOB =
    MAX(FactStaticPool[MonthsOnBook])
VAR CurrentCNL =
    [Vintage Cumulative Net Loss Rate]
VAR PriorCNL =
    CALCULATE(
        [Vintage Cumulative Net Loss Rate],
        FILTER(
            ALL(FactStaticPool[MonthsOnBook]),
            FactStaticPool[MonthsOnBook] = CurrentMOB - 1
        )
    )
RETURN
IF(
    ISBLANK(PriorCNL),
    BLANK(),
    CurrentCNL - PriorCNL
)</t>
  </si>
  <si>
    <t>Total EAD = 
SUM(DimLoan[EAD])</t>
  </si>
  <si>
    <t>Total ECL Provision = 
SUM(DimLoan[ECL_Provision])</t>
  </si>
  <si>
    <t>Calculated ECL = 
SUMX(
    DimLoan,
    DimLoan[PD_Estimate]
        * DimLoan[LGD_Estimate]
        * DimLoan[EAD]
)</t>
  </si>
  <si>
    <t>ECL Variance = 
[Total ECL Provision] - [Calculated ECL]</t>
  </si>
  <si>
    <t>ECL Variance % = 
DIVIDE(
    [ECL Variance],
    [Total ECL Provision]
)</t>
  </si>
  <si>
    <t>Stage 1 ECL = 
CALCULATE(
    [Total ECL Provision],
    DimLoan[IFRS9_Stage] = 1
)</t>
  </si>
  <si>
    <t>Stage 2 ECL = 
CALCULATE(
    [Total ECL Provision],
    DimLoan[IFRS9_Stage] = 2
)</t>
  </si>
  <si>
    <t>Stage 3 ECL = 
CALCULATE(
    [Total ECL Provision],
    DimLoan[IFRS9_Stage] = 3
)</t>
  </si>
  <si>
    <t>ECL Coverage % = 
DIVIDE(
    [Total ECL Provision],
    [Total EAD]
)</t>
  </si>
  <si>
    <t>Stressed ECL = 
SUMX(
    DimLoan,
    (DimLoan[PD_Estimate] * (1 + [Selected PD Shock]))
        *
    MIN(
        1,
        DimLoan[LGD_Estimate] * (1 + [Selected LGD Shock])
    )
        *
    DimLoan[EAD]
)</t>
  </si>
  <si>
    <t>ECL Stress Increase = 
[Stressed ECL] - [Calculated ECL]</t>
  </si>
  <si>
    <t>ECL Stress Increase % = 
DIVIDE(
    [ECL Stress Increase],
    [Calculated ECL]
)</t>
  </si>
  <si>
    <t>Stress Adjusted ECL = 
SUMX(
    DimLoan,
    DimLoan[PD_Estimate]
        * [Selected Default Rate Multiplier]
        * DimLoan[LGD_Estimate]
        * (1 - [Selected Recovery Rate Haircut])
        * DimLoan[EAD]
)</t>
  </si>
  <si>
    <t>Stress Adjusted ECL Coverage = 
DIVIDE(
    [Stress Adjusted ECL],
    [Total EAD]
)</t>
  </si>
  <si>
    <t>Waterfall Total Collections = 
[Total Collections]</t>
  </si>
  <si>
    <t>Senior Fees = 
[Waterfall Total Collections]
    *
CALCULATE(
        MAX('Waterfall Assumptions'[Value]),
        'Waterfall Assumptions'[Assumption] = "Senior Fee %"
    )</t>
  </si>
  <si>
    <t>Cash After Senior = 
MAX(
    0,
    [Waterfall Total Collections]
        - [Senior Fees]
        - [Senior Tranche Interest]
        - [Senior Tranche Principal]
)</t>
  </si>
  <si>
    <t>Mezzanine Principal % of Collections = 
DIVIDE(
    [Mezzanine Tranche Principal],
    [Waterfall Total Collections]
)</t>
  </si>
  <si>
    <t>Residual to Equity = 
MAX(
    0,
    [Cash After Senior]
        - [Mezzanine Tranche Interest]
        - [Mezzanine Tranche Principal]
)</t>
  </si>
  <si>
    <t>Total Waterfall Allocated = 
[Senior Fees]
    + [Senior Tranche Interest]
    + [Senior Tranche Principal]
    + [Mezzanine Tranche Interest]
    + [Mezzanine Tranche Principal]
    + [Residual to Equity]</t>
  </si>
  <si>
    <t>Waterfall Check = 
[Waterfall Total Collections]
    - [Total Waterfall Allocated]</t>
  </si>
  <si>
    <t>Senior OC Ratio = 
DIVIDE(
    [Total Outstanding],
    [Senior Tranche Balance]
)</t>
  </si>
  <si>
    <t>Mezzanine OC Ratio = 
DIVIDE(
    [Total Outstanding],
    [Senior Tranche Balance] + [Mezzanine Tranche Balance]
)</t>
  </si>
  <si>
    <t>Senior IC Ratio = 
DIVIDE(
    [Waterfall Total Collections],
    [Senior Tranche Interest] + [Senior Fees]
)</t>
  </si>
  <si>
    <t>Mezzanine IC Ratio = 
DIVIDE(
    [Waterfall Total Collections],
    [Senior Tranche Interest]
        + [Mezzanine Tranche Interest]
        + [Senior Fees]
)</t>
  </si>
  <si>
    <t>Reserve Adequacy = 
DIVIDE(
    [Reserve Account Balance],
    [3M Avg Monthly Losses]
)</t>
  </si>
  <si>
    <t>Credit Enhancement % = 
DIVIDE(
    [Subordinated Tranche Balance]
        + [Reserve Account Balance]
        + [Overcollateralisation Amount],
    [Total Outstanding]
)</t>
  </si>
  <si>
    <t>Waterfall Unallocated Cash = 
MAX(
    0,
    [Waterfall Total Collections]
        - [Total Waterfall Allocated]
)</t>
  </si>
  <si>
    <t>Waterfall Allocation Check % = 
DIVIDE(
    [Total Waterfall Allocated],
    [Waterfall Total Collections]
)</t>
  </si>
  <si>
    <t>Waterfall Validation Status = 
IF(
    ABS([Waterfall Check]) &lt; 1,
    "VALID",
    "CHECK REQUIRED"
)</t>
  </si>
  <si>
    <t>Senior OC Trigger Status = 
VAR Trigger =
    CALCULATE(
        MAX('Waterfall Assumptions'[Value]),
        'Waterfall Assumptions'[Assumption] = "Senior OC Trigger"
    )
RETURN
IF(
    [Senior OC Ratio] &gt;= Trigger,
    "PASS",
    "FAIL"
)</t>
  </si>
  <si>
    <t>Mezzanine OC Trigger Status = 
VAR Trigger =
    CALCULATE(
        MAX('Waterfall Assumptions'[Value]),
        'Waterfall Assumptions'[Assumption] = "Mezz OC Trigger"
    )
RETURN
IF(
    [Mezzanine OC Ratio] &gt;= Trigger,
    "PASS",
    "FAIL"
)</t>
  </si>
  <si>
    <t>Senior IC Trigger Status = 
VAR Trigger =
    CALCULATE(
        MAX('Waterfall Assumptions'[Value]),
        'Waterfall Assumptions'[Assumption] = "Senior IC Trigger"
    )
RETURN
IF(
    [Senior IC Ratio] &gt;= Trigger,
    "PASS",
    "FAIL"
)</t>
  </si>
  <si>
    <t>Mezzanine IC Trigger Status = 
VAR Trigger =
    CALCULATE(
        MAX('Waterfall Assumptions'[Value]),
        'Waterfall Assumptions'[Assumption] = "Mezz IC Trigger"
    )
RETURN
IF(
    [Mezzanine IC Ratio] &gt;= Trigger,
    "PASS",
    "FAIL"
)</t>
  </si>
  <si>
    <t>Cumulative Loss Trigger Status = 
IF(
    [Vintage Net Loss Rate] &lt;= 0.03,
    "PASS",
    "FAIL"
)</t>
  </si>
  <si>
    <t>Combine all trigger statusesOverall Trigger Status = 
IF(
    [Delinquency Trigger Status] = "PASS"
        &amp;&amp; [Cumulative Loss Trigger Status] = "PASS",
    "PASS",
    "FAIL"
)</t>
  </si>
  <si>
    <t>Senior IC Proximity % = 
DIVIDE(
    [Senior IC Ratio],
    CALCULATE(
        MAX('Waterfall Assumptions'[Value]),
        'Waterfall Assumptions'[Assumption] = "Senior IC Trigger"
    )
) - 1</t>
  </si>
  <si>
    <t>Mezzanine IC Proximity % = 
DIVIDE(
    [Mezzanine IC Ratio],
    CALCULATE(
        MAX('Waterfall Assumptions'[Value]),
        'Waterfall Assumptions'[Assumption] = "Mezz IC Trigger"
    )
) - 1</t>
  </si>
  <si>
    <t>Selected Default Rate Multiplier = 
SELECTEDVALUE(
    'Default Rate Multiplier'[Default Rate Multiplier],
    1
)</t>
  </si>
  <si>
    <t>Selected Recovery Rate Haircut = 
SELECTEDVALUE(
    'Recovery Rate Haircut'[Recovery Rate Haircut],
    0
)</t>
  </si>
  <si>
    <t>Selected Prepayment Speed Change = 
SELECTEDVALUE(
    'Prepayment Speed Change'[Prepayment Speed Change],
    0
)</t>
  </si>
  <si>
    <t>Selected Interest Rate Shock = 
SELECTEDVALUE(
    'Interest Rate Shock'[Interest Rate Shock],
    0
)</t>
  </si>
  <si>
    <t>Stress Scenario = 
DATATABLE(
    "Scenario", STRING,
    "PD Shock", DOUBLE,
    "LGD Shock", DOUBLE,
    {
        {"Base", 0, 0},
        {"Moderate", 0.25, 0.10},
        {"Severe", 0.50, 0.20},
        {"Extreme", 1.00, 0.30}
    }
)</t>
  </si>
  <si>
    <t>Selected PD Shock = 
SELECTEDVALUE(
    'Stress Scenario'[PD Shock],
    0
)</t>
  </si>
  <si>
    <t>Selected LGD Shock = 
SELECTEDVALUE(
    'Stress Scenario'[LGD Shock],
    0
)</t>
  </si>
  <si>
    <t>Scenario Adjusted ECL = 
VAR PDShock =
    SELECTEDVALUE(
        'Stress Scenario'[PD Shock],
        0
    )
VAR LGDShock =
    SELECTEDVALUE(
        'Stress Scenario'[LGD Shock],
        0
    )
VAR DefaultMultiplier =
    [Selected Default Rate Multiplier]
VAR RecoveryHaircut =
    [Selected Recovery Rate Haircut]
RETURN
SUMX(
    DimLoan,
    DimLoan[PD_Estimate]
        * DefaultMultiplier
        * (1 + PDShock)
        * DimLoan[LGD_Estimate]
        * (1 - RecoveryHaircut)
        * (1 - LGDShock)
        * DimLoan[EAD]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</si>
</sst>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uto_loan_securitisation_data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2" name="Table2" displayName="Table2" ref="A1:F121" totalsRowShown="0" headerRowDxfId="0" dataDxfId="1">
  <autoFilter ref="A1:F121"/>
  <tableColumns count="6">
    <tableColumn id="1" name="Sr. No" dataDxfId="7">
      <calculatedColumnFormula>ROW()-1</calculatedColumnFormula>
    </tableColumn>
    <tableColumn id="2" name="Measure Name" dataDxfId="6"/>
    <tableColumn id="3" name="Category" dataDxfId="5"/>
    <tableColumn id="4" name="Business Purpose" dataDxfId="4"/>
    <tableColumn id="5" name="DAX Formula / Logic" dataDxfId="3"/>
    <tableColumn id="6" name="Output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2"/>
  <sheetViews>
    <sheetView topLeftCell="A7" workbookViewId="0">
      <selection activeCell="H19" sqref="H19"/>
    </sheetView>
  </sheetViews>
  <sheetFormatPr defaultRowHeight="15"/>
  <cols>
    <col min="1" max="1" width="20" bestFit="1" customWidth="1"/>
    <col min="2" max="2" width="12.140625" bestFit="1" customWidth="1"/>
    <col min="3" max="3" width="13.28515625" bestFit="1" customWidth="1"/>
    <col min="4" max="4" width="11" bestFit="1" customWidth="1"/>
    <col min="5" max="5" width="13.85546875" bestFit="1" customWidth="1"/>
    <col min="6" max="6" width="13.42578125" bestFit="1" customWidth="1"/>
    <col min="8" max="8" width="12.7109375" bestFit="1" customWidth="1"/>
  </cols>
  <sheetData>
    <row r="1" spans="1:8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507</v>
      </c>
      <c r="G1" t="s">
        <v>4</v>
      </c>
      <c r="H1" t="s">
        <v>5</v>
      </c>
    </row>
    <row r="2" spans="1:8">
      <c r="A2" t="s">
        <v>7</v>
      </c>
      <c r="B2">
        <v>2.24E-2</v>
      </c>
      <c r="C2">
        <v>0.4521</v>
      </c>
      <c r="D2">
        <v>741356.86</v>
      </c>
      <c r="E2">
        <f>B2*C2*D2</f>
        <v>7507.7505754944004</v>
      </c>
      <c r="F2">
        <v>7507.75</v>
      </c>
      <c r="G2">
        <f>F2-E2</f>
        <v>-5.7549440043658251E-4</v>
      </c>
      <c r="H2">
        <f>IFERROR(G2/F2,0)</f>
        <v>-7.6653378234035825E-8</v>
      </c>
    </row>
    <row r="3" spans="1:8">
      <c r="A3" t="s">
        <v>8</v>
      </c>
      <c r="B3">
        <v>2.24E-2</v>
      </c>
      <c r="C3">
        <v>0.55510000000000004</v>
      </c>
      <c r="D3">
        <v>683790.85</v>
      </c>
      <c r="E3">
        <f t="shared" ref="E3:E66" si="0">B3*C3*D3</f>
        <v>8502.4195387039999</v>
      </c>
      <c r="F3">
        <v>8502.42</v>
      </c>
      <c r="G3">
        <f t="shared" ref="G3:G66" si="1">F3-E3</f>
        <v>4.6129600013955496E-4</v>
      </c>
      <c r="H3">
        <f t="shared" ref="H3:H66" si="2">IFERROR(G3/F3,0)</f>
        <v>5.4254671039486991E-8</v>
      </c>
    </row>
    <row r="4" spans="1:8">
      <c r="A4" t="s">
        <v>9</v>
      </c>
      <c r="B4">
        <v>1.66E-2</v>
      </c>
      <c r="C4">
        <v>0.64929999999999999</v>
      </c>
      <c r="D4">
        <v>300458.28000000003</v>
      </c>
      <c r="E4">
        <f t="shared" si="0"/>
        <v>3238.4535159864004</v>
      </c>
      <c r="F4">
        <v>3238.45</v>
      </c>
      <c r="G4">
        <f t="shared" si="1"/>
        <v>-3.5159864005436248E-3</v>
      </c>
      <c r="H4">
        <f t="shared" si="2"/>
        <v>-1.0857003815231437E-6</v>
      </c>
    </row>
    <row r="5" spans="1:8">
      <c r="A5" t="s">
        <v>10</v>
      </c>
      <c r="B5">
        <v>2.41E-2</v>
      </c>
      <c r="C5">
        <v>0.50229999999999997</v>
      </c>
      <c r="D5">
        <v>1024346.59</v>
      </c>
      <c r="E5">
        <f t="shared" si="0"/>
        <v>12400.155940983697</v>
      </c>
      <c r="F5">
        <v>12400.16</v>
      </c>
      <c r="G5">
        <f t="shared" si="1"/>
        <v>4.059016302562668E-3</v>
      </c>
      <c r="H5">
        <f t="shared" si="2"/>
        <v>3.2733580071246406E-7</v>
      </c>
    </row>
    <row r="6" spans="1:8">
      <c r="A6" t="s">
        <v>11</v>
      </c>
      <c r="B6">
        <v>1.9300000000000001E-2</v>
      </c>
      <c r="C6">
        <v>0.50529999999999997</v>
      </c>
      <c r="D6">
        <v>0</v>
      </c>
      <c r="E6">
        <f t="shared" si="0"/>
        <v>0</v>
      </c>
      <c r="F6">
        <v>0</v>
      </c>
      <c r="G6">
        <f t="shared" si="1"/>
        <v>0</v>
      </c>
      <c r="H6">
        <f t="shared" si="2"/>
        <v>0</v>
      </c>
    </row>
    <row r="7" spans="1:8">
      <c r="A7" t="s">
        <v>12</v>
      </c>
      <c r="B7">
        <v>1.47E-2</v>
      </c>
      <c r="C7">
        <v>0.56850000000000001</v>
      </c>
      <c r="D7">
        <v>490997.99</v>
      </c>
      <c r="E7">
        <f t="shared" si="0"/>
        <v>4103.2456525304997</v>
      </c>
      <c r="F7">
        <v>4103.25</v>
      </c>
      <c r="G7">
        <f t="shared" si="1"/>
        <v>4.3474695003169472E-3</v>
      </c>
      <c r="H7">
        <f t="shared" si="2"/>
        <v>1.0595185524442691E-6</v>
      </c>
    </row>
    <row r="8" spans="1:8">
      <c r="A8" t="s">
        <v>13</v>
      </c>
      <c r="B8">
        <v>1.5900000000000001E-2</v>
      </c>
      <c r="C8">
        <v>0.439</v>
      </c>
      <c r="D8">
        <v>611192.31000000006</v>
      </c>
      <c r="E8">
        <f t="shared" si="0"/>
        <v>4266.1834430310009</v>
      </c>
      <c r="F8">
        <v>4266.18</v>
      </c>
      <c r="G8">
        <f t="shared" si="1"/>
        <v>-3.4430310006428044E-3</v>
      </c>
      <c r="H8">
        <f t="shared" si="2"/>
        <v>-8.0705244519518735E-7</v>
      </c>
    </row>
    <row r="9" spans="1:8">
      <c r="A9" t="s">
        <v>14</v>
      </c>
      <c r="B9">
        <v>0.11700000000000001</v>
      </c>
      <c r="C9">
        <v>0.64949999999999997</v>
      </c>
      <c r="D9">
        <v>315288.3</v>
      </c>
      <c r="E9">
        <f t="shared" si="0"/>
        <v>23959.230849449999</v>
      </c>
      <c r="F9">
        <v>23959.23</v>
      </c>
      <c r="G9">
        <f t="shared" si="1"/>
        <v>-8.4944999980507419E-4</v>
      </c>
      <c r="H9">
        <f t="shared" si="2"/>
        <v>-3.5453977436047575E-8</v>
      </c>
    </row>
    <row r="10" spans="1:8">
      <c r="A10" t="s">
        <v>15</v>
      </c>
      <c r="B10">
        <v>2.1600000000000001E-2</v>
      </c>
      <c r="C10">
        <v>0.5988</v>
      </c>
      <c r="D10">
        <v>805215.48</v>
      </c>
      <c r="E10">
        <f t="shared" si="0"/>
        <v>10414.7214355584</v>
      </c>
      <c r="F10">
        <v>10414.719999999999</v>
      </c>
      <c r="G10">
        <f t="shared" si="1"/>
        <v>-1.4355584007716971E-3</v>
      </c>
      <c r="H10">
        <f t="shared" si="2"/>
        <v>-1.3783936589478135E-7</v>
      </c>
    </row>
    <row r="11" spans="1:8">
      <c r="A11" t="s">
        <v>16</v>
      </c>
      <c r="B11">
        <v>1</v>
      </c>
      <c r="C11">
        <v>0.60919999999999996</v>
      </c>
      <c r="D11">
        <v>230067.02</v>
      </c>
      <c r="E11">
        <f t="shared" si="0"/>
        <v>140156.82858399997</v>
      </c>
      <c r="F11">
        <v>140156.82999999999</v>
      </c>
      <c r="G11">
        <f t="shared" si="1"/>
        <v>1.416000013705343E-3</v>
      </c>
      <c r="H11">
        <f t="shared" si="2"/>
        <v>1.0102968322737773E-8</v>
      </c>
    </row>
    <row r="12" spans="1:8">
      <c r="A12" t="s">
        <v>17</v>
      </c>
      <c r="B12">
        <v>0.11169999999999999</v>
      </c>
      <c r="C12">
        <v>0.52300000000000002</v>
      </c>
      <c r="D12">
        <v>461015.87</v>
      </c>
      <c r="E12">
        <f t="shared" si="0"/>
        <v>26932.132211117001</v>
      </c>
      <c r="F12">
        <v>26932.13</v>
      </c>
      <c r="G12">
        <f t="shared" si="1"/>
        <v>-2.2111170001153369E-3</v>
      </c>
      <c r="H12">
        <f t="shared" si="2"/>
        <v>-8.2099596285750023E-8</v>
      </c>
    </row>
    <row r="13" spans="1:8">
      <c r="A13" t="s">
        <v>18</v>
      </c>
      <c r="B13">
        <v>1.9599999999999999E-2</v>
      </c>
      <c r="C13">
        <v>0.48259999999999997</v>
      </c>
      <c r="D13">
        <v>206002.75</v>
      </c>
      <c r="E13">
        <f t="shared" si="0"/>
        <v>1948.5717721399997</v>
      </c>
      <c r="F13">
        <v>1948.57</v>
      </c>
      <c r="G13">
        <f t="shared" si="1"/>
        <v>-1.7721399997299159E-3</v>
      </c>
      <c r="H13">
        <f t="shared" si="2"/>
        <v>-9.0945667834869468E-7</v>
      </c>
    </row>
    <row r="14" spans="1:8">
      <c r="A14" t="s">
        <v>19</v>
      </c>
      <c r="B14">
        <v>1.46E-2</v>
      </c>
      <c r="C14">
        <v>0.42480000000000001</v>
      </c>
      <c r="D14">
        <v>324218.93</v>
      </c>
      <c r="E14">
        <f t="shared" si="0"/>
        <v>2010.8317413744001</v>
      </c>
      <c r="F14">
        <v>2010.83</v>
      </c>
      <c r="G14">
        <f t="shared" si="1"/>
        <v>-1.7413744001260056E-3</v>
      </c>
      <c r="H14">
        <f t="shared" si="2"/>
        <v>-8.6599782185764371E-7</v>
      </c>
    </row>
    <row r="15" spans="1:8">
      <c r="A15" t="s">
        <v>20</v>
      </c>
      <c r="B15">
        <v>2.2499999999999999E-2</v>
      </c>
      <c r="C15">
        <v>0.36930000000000002</v>
      </c>
      <c r="D15">
        <v>627656.76</v>
      </c>
      <c r="E15">
        <f t="shared" si="0"/>
        <v>5215.3569330300006</v>
      </c>
      <c r="F15">
        <v>5215.3599999999997</v>
      </c>
      <c r="G15">
        <f t="shared" si="1"/>
        <v>3.0669699990539812E-3</v>
      </c>
      <c r="H15">
        <f t="shared" si="2"/>
        <v>5.8806486974129906E-7</v>
      </c>
    </row>
    <row r="16" spans="1:8">
      <c r="A16" t="s">
        <v>21</v>
      </c>
      <c r="B16">
        <v>2.4899999999999999E-2</v>
      </c>
      <c r="C16">
        <v>0.52759999999999996</v>
      </c>
      <c r="D16">
        <v>1131595.97</v>
      </c>
      <c r="E16">
        <f t="shared" si="0"/>
        <v>14866.047840922798</v>
      </c>
      <c r="F16">
        <v>14866.05</v>
      </c>
      <c r="G16">
        <f t="shared" si="1"/>
        <v>2.159077201213222E-3</v>
      </c>
      <c r="H16">
        <f t="shared" si="2"/>
        <v>1.4523543249304435E-7</v>
      </c>
    </row>
    <row r="17" spans="1:8">
      <c r="A17" t="s">
        <v>22</v>
      </c>
      <c r="B17">
        <v>0.68059999999999998</v>
      </c>
      <c r="C17">
        <v>0.53220000000000001</v>
      </c>
      <c r="D17">
        <v>779822.13</v>
      </c>
      <c r="E17">
        <f t="shared" si="0"/>
        <v>282463.52236103162</v>
      </c>
      <c r="F17">
        <v>282463.52</v>
      </c>
      <c r="G17">
        <f t="shared" si="1"/>
        <v>-2.3610315984115005E-3</v>
      </c>
      <c r="H17">
        <f t="shared" si="2"/>
        <v>-8.3587133602650726E-9</v>
      </c>
    </row>
    <row r="18" spans="1:8">
      <c r="A18" t="s">
        <v>23</v>
      </c>
      <c r="B18">
        <v>2.2499999999999999E-2</v>
      </c>
      <c r="C18">
        <v>0.48060000000000003</v>
      </c>
      <c r="D18">
        <v>312941.81</v>
      </c>
      <c r="E18">
        <f t="shared" si="0"/>
        <v>3383.9962624350001</v>
      </c>
      <c r="F18">
        <v>3384</v>
      </c>
      <c r="G18">
        <f t="shared" si="1"/>
        <v>3.7375649999376037E-3</v>
      </c>
      <c r="H18">
        <f t="shared" si="2"/>
        <v>1.1044813829602848E-6</v>
      </c>
    </row>
    <row r="19" spans="1:8">
      <c r="A19" t="s">
        <v>24</v>
      </c>
      <c r="B19">
        <v>1.6899999999999998E-2</v>
      </c>
      <c r="C19">
        <v>0.47189999999999999</v>
      </c>
      <c r="D19">
        <v>419147.19</v>
      </c>
      <c r="E19">
        <f t="shared" si="0"/>
        <v>3342.7449464408996</v>
      </c>
      <c r="F19">
        <v>3342.74</v>
      </c>
      <c r="G19">
        <f t="shared" si="1"/>
        <v>-4.9464408998574072E-3</v>
      </c>
      <c r="H19">
        <f t="shared" si="2"/>
        <v>-1.479756397403749E-6</v>
      </c>
    </row>
    <row r="20" spans="1:8">
      <c r="A20" t="s">
        <v>25</v>
      </c>
      <c r="B20">
        <v>2.58E-2</v>
      </c>
      <c r="C20">
        <v>0.5998</v>
      </c>
      <c r="D20">
        <v>435673.85</v>
      </c>
      <c r="E20">
        <f t="shared" si="0"/>
        <v>6741.983120934</v>
      </c>
      <c r="F20">
        <v>6741.98</v>
      </c>
      <c r="G20">
        <f t="shared" si="1"/>
        <v>-3.1209340004352271E-3</v>
      </c>
      <c r="H20">
        <f t="shared" si="2"/>
        <v>-4.6291059902806406E-7</v>
      </c>
    </row>
    <row r="21" spans="1:8">
      <c r="A21" t="s">
        <v>26</v>
      </c>
      <c r="B21">
        <v>2.5899999999999999E-2</v>
      </c>
      <c r="C21">
        <v>0.38550000000000001</v>
      </c>
      <c r="D21">
        <v>0</v>
      </c>
      <c r="E21">
        <f t="shared" si="0"/>
        <v>0</v>
      </c>
      <c r="F21">
        <v>0</v>
      </c>
      <c r="G21">
        <f t="shared" si="1"/>
        <v>0</v>
      </c>
      <c r="H21">
        <f t="shared" si="2"/>
        <v>0</v>
      </c>
    </row>
    <row r="22" spans="1:8">
      <c r="A22" t="s">
        <v>27</v>
      </c>
      <c r="B22">
        <v>2.2200000000000001E-2</v>
      </c>
      <c r="C22">
        <v>0.62719999999999998</v>
      </c>
      <c r="D22">
        <v>779763.04</v>
      </c>
      <c r="E22">
        <f t="shared" si="0"/>
        <v>10857.295806873601</v>
      </c>
      <c r="F22">
        <v>10857.3</v>
      </c>
      <c r="G22">
        <f t="shared" si="1"/>
        <v>4.1931263986043632E-3</v>
      </c>
      <c r="H22">
        <f t="shared" si="2"/>
        <v>3.8620342061141937E-7</v>
      </c>
    </row>
    <row r="23" spans="1:8">
      <c r="A23" t="s">
        <v>28</v>
      </c>
      <c r="B23">
        <v>2.0899999999999998E-2</v>
      </c>
      <c r="C23">
        <v>0.57889999999999997</v>
      </c>
      <c r="D23">
        <v>43969.35</v>
      </c>
      <c r="E23">
        <f t="shared" si="0"/>
        <v>531.98560534349997</v>
      </c>
      <c r="F23">
        <v>531.99</v>
      </c>
      <c r="G23">
        <f t="shared" si="1"/>
        <v>4.3946565000396731E-3</v>
      </c>
      <c r="H23">
        <f t="shared" si="2"/>
        <v>8.2607877968376715E-6</v>
      </c>
    </row>
    <row r="24" spans="1:8">
      <c r="A24" t="s">
        <v>29</v>
      </c>
      <c r="B24">
        <v>2.3099999999999999E-2</v>
      </c>
      <c r="C24">
        <v>0.41110000000000002</v>
      </c>
      <c r="D24">
        <v>821068.97</v>
      </c>
      <c r="E24">
        <f t="shared" si="0"/>
        <v>7797.2075773977003</v>
      </c>
      <c r="F24">
        <v>7797.21</v>
      </c>
      <c r="G24">
        <f t="shared" si="1"/>
        <v>2.422602299702703E-3</v>
      </c>
      <c r="H24">
        <f t="shared" si="2"/>
        <v>3.1070117384329818E-7</v>
      </c>
    </row>
    <row r="25" spans="1:8">
      <c r="A25" t="s">
        <v>30</v>
      </c>
      <c r="B25">
        <v>1.8100000000000002E-2</v>
      </c>
      <c r="C25">
        <v>0.58630000000000004</v>
      </c>
      <c r="D25">
        <v>414857.35</v>
      </c>
      <c r="E25">
        <f t="shared" si="0"/>
        <v>4402.4786439205</v>
      </c>
      <c r="F25">
        <v>4402.4799999999996</v>
      </c>
      <c r="G25">
        <f t="shared" si="1"/>
        <v>1.3560794996010372E-3</v>
      </c>
      <c r="H25">
        <f t="shared" si="2"/>
        <v>3.0802627146540984E-7</v>
      </c>
    </row>
    <row r="26" spans="1:8">
      <c r="A26" t="s">
        <v>31</v>
      </c>
      <c r="B26">
        <v>2.4400000000000002E-2</v>
      </c>
      <c r="C26">
        <v>0.61229999999999996</v>
      </c>
      <c r="D26">
        <v>904239.11</v>
      </c>
      <c r="E26">
        <f t="shared" si="0"/>
        <v>13509.440812093198</v>
      </c>
      <c r="F26">
        <v>13509.44</v>
      </c>
      <c r="G26">
        <f t="shared" si="1"/>
        <v>-8.1209319796471391E-4</v>
      </c>
      <c r="H26">
        <f t="shared" si="2"/>
        <v>-6.0113017117268653E-8</v>
      </c>
    </row>
    <row r="27" spans="1:8">
      <c r="A27" t="s">
        <v>32</v>
      </c>
      <c r="B27">
        <v>1.46E-2</v>
      </c>
      <c r="C27">
        <v>0.58879999999999999</v>
      </c>
      <c r="D27">
        <v>1721697.95</v>
      </c>
      <c r="E27">
        <f t="shared" si="0"/>
        <v>14800.541993216</v>
      </c>
      <c r="F27">
        <v>14800.54</v>
      </c>
      <c r="G27">
        <f t="shared" si="1"/>
        <v>-1.9932159993913956E-3</v>
      </c>
      <c r="H27">
        <f t="shared" si="2"/>
        <v>-1.3467184301325463E-7</v>
      </c>
    </row>
    <row r="28" spans="1:8">
      <c r="A28" t="s">
        <v>33</v>
      </c>
      <c r="B28">
        <v>2.4199999999999999E-2</v>
      </c>
      <c r="C28">
        <v>0.38200000000000001</v>
      </c>
      <c r="D28">
        <v>166166.01999999999</v>
      </c>
      <c r="E28">
        <f t="shared" si="0"/>
        <v>1536.1051552879999</v>
      </c>
      <c r="F28">
        <v>1536.11</v>
      </c>
      <c r="G28">
        <f t="shared" si="1"/>
        <v>4.8447120000219002E-3</v>
      </c>
      <c r="H28">
        <f t="shared" si="2"/>
        <v>3.1538835109607388E-6</v>
      </c>
    </row>
    <row r="29" spans="1:8">
      <c r="A29" t="s">
        <v>34</v>
      </c>
      <c r="B29">
        <v>2.0400000000000001E-2</v>
      </c>
      <c r="C29">
        <v>0.624</v>
      </c>
      <c r="D29">
        <v>1683043.07</v>
      </c>
      <c r="E29">
        <f t="shared" si="0"/>
        <v>21424.465063872001</v>
      </c>
      <c r="F29">
        <v>21424.47</v>
      </c>
      <c r="G29">
        <f t="shared" si="1"/>
        <v>4.9361279998265672E-3</v>
      </c>
      <c r="H29">
        <f t="shared" si="2"/>
        <v>2.3039673792754578E-7</v>
      </c>
    </row>
    <row r="30" spans="1:8">
      <c r="A30" t="s">
        <v>35</v>
      </c>
      <c r="B30">
        <v>2.1399999999999999E-2</v>
      </c>
      <c r="C30">
        <v>0.63300000000000001</v>
      </c>
      <c r="D30">
        <v>793857.01</v>
      </c>
      <c r="E30">
        <f t="shared" si="0"/>
        <v>10753.745828862</v>
      </c>
      <c r="F30">
        <v>10753.75</v>
      </c>
      <c r="G30">
        <f t="shared" si="1"/>
        <v>4.17113799994695E-3</v>
      </c>
      <c r="H30">
        <f t="shared" si="2"/>
        <v>3.8787753108887133E-7</v>
      </c>
    </row>
    <row r="31" spans="1:8">
      <c r="A31" t="s">
        <v>36</v>
      </c>
      <c r="B31">
        <v>1.52E-2</v>
      </c>
      <c r="C31">
        <v>0.55569999999999997</v>
      </c>
      <c r="D31">
        <v>440243.38</v>
      </c>
      <c r="E31">
        <f t="shared" si="0"/>
        <v>3718.5773432432002</v>
      </c>
      <c r="F31">
        <v>3718.58</v>
      </c>
      <c r="G31">
        <f t="shared" si="1"/>
        <v>2.6567567997517472E-3</v>
      </c>
      <c r="H31">
        <f t="shared" si="2"/>
        <v>7.1445465735623469E-7</v>
      </c>
    </row>
    <row r="32" spans="1:8">
      <c r="A32" t="s">
        <v>37</v>
      </c>
      <c r="B32">
        <v>2.1899999999999999E-2</v>
      </c>
      <c r="C32">
        <v>0.35770000000000002</v>
      </c>
      <c r="D32">
        <v>753197.89</v>
      </c>
      <c r="E32">
        <f t="shared" si="0"/>
        <v>5900.2735870406996</v>
      </c>
      <c r="F32">
        <v>5900.27</v>
      </c>
      <c r="G32">
        <f t="shared" si="1"/>
        <v>-3.5870406991307391E-3</v>
      </c>
      <c r="H32">
        <f t="shared" si="2"/>
        <v>-6.0794517863262849E-7</v>
      </c>
    </row>
    <row r="33" spans="1:8">
      <c r="A33" t="s">
        <v>38</v>
      </c>
      <c r="B33">
        <v>1.7299999999999999E-2</v>
      </c>
      <c r="C33">
        <v>0.53990000000000005</v>
      </c>
      <c r="D33">
        <v>1167789.76</v>
      </c>
      <c r="E33">
        <f t="shared" si="0"/>
        <v>10907.471661635202</v>
      </c>
      <c r="F33">
        <v>10907.47</v>
      </c>
      <c r="G33">
        <f t="shared" si="1"/>
        <v>-1.6616352022538194E-3</v>
      </c>
      <c r="H33">
        <f t="shared" si="2"/>
        <v>-1.5233919527203095E-7</v>
      </c>
    </row>
    <row r="34" spans="1:8">
      <c r="A34" t="s">
        <v>39</v>
      </c>
      <c r="B34">
        <v>2.1999999999999999E-2</v>
      </c>
      <c r="C34">
        <v>0.47320000000000001</v>
      </c>
      <c r="D34">
        <v>509117.76</v>
      </c>
      <c r="E34">
        <f t="shared" si="0"/>
        <v>5300.119528704</v>
      </c>
      <c r="F34">
        <v>5300.12</v>
      </c>
      <c r="G34">
        <f t="shared" si="1"/>
        <v>4.7129599988693371E-4</v>
      </c>
      <c r="H34">
        <f t="shared" si="2"/>
        <v>8.892176024069902E-8</v>
      </c>
    </row>
    <row r="35" spans="1:8">
      <c r="A35" t="s">
        <v>40</v>
      </c>
      <c r="B35">
        <v>1.8200000000000001E-2</v>
      </c>
      <c r="C35">
        <v>0.40439999999999998</v>
      </c>
      <c r="D35">
        <v>396974.89</v>
      </c>
      <c r="E35">
        <f t="shared" si="0"/>
        <v>2921.7669483912</v>
      </c>
      <c r="F35">
        <v>2921.77</v>
      </c>
      <c r="G35">
        <f t="shared" si="1"/>
        <v>3.0516087999785668E-3</v>
      </c>
      <c r="H35">
        <f t="shared" si="2"/>
        <v>1.0444384054797493E-6</v>
      </c>
    </row>
    <row r="36" spans="1:8">
      <c r="A36" t="s">
        <v>41</v>
      </c>
      <c r="B36">
        <v>1.9199999999999998E-2</v>
      </c>
      <c r="C36">
        <v>0.435</v>
      </c>
      <c r="D36">
        <v>737267.1</v>
      </c>
      <c r="E36">
        <f t="shared" si="0"/>
        <v>6157.6548192</v>
      </c>
      <c r="F36">
        <v>6157.65</v>
      </c>
      <c r="G36">
        <f t="shared" si="1"/>
        <v>-4.8192000003837165E-3</v>
      </c>
      <c r="H36">
        <f t="shared" si="2"/>
        <v>-7.8263623304080567E-7</v>
      </c>
    </row>
    <row r="37" spans="1:8">
      <c r="A37" t="s">
        <v>42</v>
      </c>
      <c r="B37">
        <v>0.1439</v>
      </c>
      <c r="C37">
        <v>0.62590000000000001</v>
      </c>
      <c r="D37">
        <v>637646.71</v>
      </c>
      <c r="E37">
        <f t="shared" si="0"/>
        <v>57430.932606037095</v>
      </c>
      <c r="F37">
        <v>57430.93</v>
      </c>
      <c r="G37">
        <f t="shared" si="1"/>
        <v>-2.6060370946652256E-3</v>
      </c>
      <c r="H37">
        <f t="shared" si="2"/>
        <v>-4.5376891766600775E-8</v>
      </c>
    </row>
    <row r="38" spans="1:8">
      <c r="A38" t="s">
        <v>43</v>
      </c>
      <c r="B38">
        <v>2.2200000000000001E-2</v>
      </c>
      <c r="C38">
        <v>0.61460000000000004</v>
      </c>
      <c r="D38">
        <v>436244.26</v>
      </c>
      <c r="E38">
        <f t="shared" si="0"/>
        <v>5952.1690327512006</v>
      </c>
      <c r="F38">
        <v>5952.17</v>
      </c>
      <c r="G38">
        <f t="shared" si="1"/>
        <v>9.6724879949761089E-4</v>
      </c>
      <c r="H38">
        <f t="shared" si="2"/>
        <v>1.6250355744167436E-7</v>
      </c>
    </row>
    <row r="39" spans="1:8">
      <c r="A39" t="s">
        <v>44</v>
      </c>
      <c r="B39">
        <v>1.52E-2</v>
      </c>
      <c r="C39">
        <v>0.61970000000000003</v>
      </c>
      <c r="D39">
        <v>1162236.07</v>
      </c>
      <c r="E39">
        <f t="shared" si="0"/>
        <v>10947.612927200802</v>
      </c>
      <c r="F39">
        <v>10947.61</v>
      </c>
      <c r="G39">
        <f t="shared" si="1"/>
        <v>-2.9272008014231687E-3</v>
      </c>
      <c r="H39">
        <f t="shared" si="2"/>
        <v>-2.6738263433052224E-7</v>
      </c>
    </row>
    <row r="40" spans="1:8">
      <c r="A40" t="s">
        <v>45</v>
      </c>
      <c r="B40">
        <v>2.1100000000000001E-2</v>
      </c>
      <c r="C40">
        <v>0.63139999999999996</v>
      </c>
      <c r="D40">
        <v>1430778.23</v>
      </c>
      <c r="E40">
        <f t="shared" si="0"/>
        <v>19061.600200304198</v>
      </c>
      <c r="F40">
        <v>19061.599999999999</v>
      </c>
      <c r="G40">
        <f t="shared" si="1"/>
        <v>-2.0030419909744523E-4</v>
      </c>
      <c r="H40">
        <f t="shared" si="2"/>
        <v>-1.0508257391690375E-8</v>
      </c>
    </row>
    <row r="41" spans="1:8">
      <c r="A41" t="s">
        <v>46</v>
      </c>
      <c r="B41">
        <v>2.2100000000000002E-2</v>
      </c>
      <c r="C41">
        <v>0.42130000000000001</v>
      </c>
      <c r="D41">
        <v>615903</v>
      </c>
      <c r="E41">
        <f t="shared" si="0"/>
        <v>5734.5065391900007</v>
      </c>
      <c r="F41">
        <v>5734.51</v>
      </c>
      <c r="G41">
        <f t="shared" si="1"/>
        <v>3.4608099995239172E-3</v>
      </c>
      <c r="H41">
        <f t="shared" si="2"/>
        <v>6.035057920422001E-7</v>
      </c>
    </row>
    <row r="42" spans="1:8">
      <c r="A42" t="s">
        <v>47</v>
      </c>
      <c r="B42">
        <v>0.14380000000000001</v>
      </c>
      <c r="C42">
        <v>0.3775</v>
      </c>
      <c r="D42">
        <v>1061714.32</v>
      </c>
      <c r="E42">
        <f t="shared" si="0"/>
        <v>57634.631004040013</v>
      </c>
      <c r="F42">
        <v>57634.63</v>
      </c>
      <c r="G42">
        <f t="shared" si="1"/>
        <v>-1.004040015686769E-3</v>
      </c>
      <c r="H42">
        <f t="shared" si="2"/>
        <v>-1.7420776635275858E-8</v>
      </c>
    </row>
    <row r="43" spans="1:8">
      <c r="A43" t="s">
        <v>48</v>
      </c>
      <c r="B43">
        <v>1.5299999999999999E-2</v>
      </c>
      <c r="C43">
        <v>0.43640000000000001</v>
      </c>
      <c r="D43">
        <v>275403.78999999998</v>
      </c>
      <c r="E43">
        <f t="shared" si="0"/>
        <v>1838.8490735267999</v>
      </c>
      <c r="F43">
        <v>1838.85</v>
      </c>
      <c r="G43">
        <f t="shared" si="1"/>
        <v>9.2647320002470224E-4</v>
      </c>
      <c r="H43">
        <f t="shared" si="2"/>
        <v>5.0383293907861016E-7</v>
      </c>
    </row>
    <row r="44" spans="1:8">
      <c r="A44" t="s">
        <v>49</v>
      </c>
      <c r="B44">
        <v>0.77710000000000001</v>
      </c>
      <c r="C44">
        <v>0.37030000000000002</v>
      </c>
      <c r="D44">
        <v>504788.85</v>
      </c>
      <c r="E44">
        <f t="shared" si="0"/>
        <v>145258.1050985505</v>
      </c>
      <c r="F44">
        <v>145258.10999999999</v>
      </c>
      <c r="G44">
        <f t="shared" si="1"/>
        <v>4.9014494870789349E-3</v>
      </c>
      <c r="H44">
        <f t="shared" si="2"/>
        <v>3.3743034981516247E-8</v>
      </c>
    </row>
    <row r="45" spans="1:8">
      <c r="A45" t="s">
        <v>50</v>
      </c>
      <c r="B45">
        <v>1.7299999999999999E-2</v>
      </c>
      <c r="C45">
        <v>0.58979999999999999</v>
      </c>
      <c r="D45">
        <v>1073265.6599999999</v>
      </c>
      <c r="E45">
        <f t="shared" si="0"/>
        <v>10951.109092436398</v>
      </c>
      <c r="F45">
        <v>10951.11</v>
      </c>
      <c r="G45">
        <f t="shared" si="1"/>
        <v>9.0756360259547364E-4</v>
      </c>
      <c r="H45">
        <f t="shared" si="2"/>
        <v>8.2874119846798504E-8</v>
      </c>
    </row>
    <row r="46" spans="1:8">
      <c r="A46" t="s">
        <v>51</v>
      </c>
      <c r="B46">
        <v>2.2100000000000002E-2</v>
      </c>
      <c r="C46">
        <v>0.47189999999999999</v>
      </c>
      <c r="D46">
        <v>599112.73</v>
      </c>
      <c r="E46">
        <f t="shared" si="0"/>
        <v>6248.1406700427005</v>
      </c>
      <c r="F46">
        <v>6248.14</v>
      </c>
      <c r="G46">
        <f t="shared" si="1"/>
        <v>-6.7004270022152923E-4</v>
      </c>
      <c r="H46">
        <f t="shared" si="2"/>
        <v>-1.0723874628633949E-7</v>
      </c>
    </row>
    <row r="47" spans="1:8">
      <c r="A47" t="s">
        <v>52</v>
      </c>
      <c r="B47">
        <v>0.94889999999999997</v>
      </c>
      <c r="C47">
        <v>0.64959999999999996</v>
      </c>
      <c r="D47">
        <v>199966.71</v>
      </c>
      <c r="E47">
        <f t="shared" si="0"/>
        <v>123260.56786290239</v>
      </c>
      <c r="F47">
        <v>123260.57</v>
      </c>
      <c r="G47">
        <f t="shared" si="1"/>
        <v>2.1370976173784584E-3</v>
      </c>
      <c r="H47">
        <f t="shared" si="2"/>
        <v>1.7338047498713158E-8</v>
      </c>
    </row>
    <row r="48" spans="1:8">
      <c r="A48" t="s">
        <v>53</v>
      </c>
      <c r="B48">
        <v>2.0299999999999999E-2</v>
      </c>
      <c r="C48">
        <v>0.58069999999999999</v>
      </c>
      <c r="D48">
        <v>1463665.87</v>
      </c>
      <c r="E48">
        <f t="shared" si="0"/>
        <v>17254.000645392698</v>
      </c>
      <c r="F48">
        <v>17254</v>
      </c>
      <c r="G48">
        <f t="shared" si="1"/>
        <v>-6.4539269806118682E-4</v>
      </c>
      <c r="H48">
        <f t="shared" si="2"/>
        <v>-3.7405395737868717E-8</v>
      </c>
    </row>
    <row r="49" spans="1:8">
      <c r="A49" t="s">
        <v>54</v>
      </c>
      <c r="B49">
        <v>0.85129999999999995</v>
      </c>
      <c r="C49">
        <v>0.40060000000000001</v>
      </c>
      <c r="D49">
        <v>779609.77</v>
      </c>
      <c r="E49">
        <f t="shared" si="0"/>
        <v>265870.9279587206</v>
      </c>
      <c r="F49">
        <v>265870.93</v>
      </c>
      <c r="G49">
        <f t="shared" si="1"/>
        <v>2.041279396507889E-3</v>
      </c>
      <c r="H49">
        <f t="shared" si="2"/>
        <v>7.6777081138877774E-9</v>
      </c>
    </row>
    <row r="50" spans="1:8">
      <c r="A50" t="s">
        <v>55</v>
      </c>
      <c r="B50">
        <v>2.4299999999999999E-2</v>
      </c>
      <c r="C50">
        <v>0.44579999999999997</v>
      </c>
      <c r="D50">
        <v>1275973.67</v>
      </c>
      <c r="E50">
        <f t="shared" si="0"/>
        <v>13822.546208689799</v>
      </c>
      <c r="F50">
        <v>13822.55</v>
      </c>
      <c r="G50">
        <f t="shared" si="1"/>
        <v>3.7913102005404653E-3</v>
      </c>
      <c r="H50">
        <f t="shared" si="2"/>
        <v>2.7428442657400157E-7</v>
      </c>
    </row>
    <row r="51" spans="1:8">
      <c r="A51" t="s">
        <v>56</v>
      </c>
      <c r="B51">
        <v>1.9900000000000001E-2</v>
      </c>
      <c r="C51">
        <v>0.61470000000000002</v>
      </c>
      <c r="D51">
        <v>413581.84</v>
      </c>
      <c r="E51">
        <f t="shared" si="0"/>
        <v>5059.1522652552012</v>
      </c>
      <c r="F51">
        <v>5059.1499999999996</v>
      </c>
      <c r="G51">
        <f t="shared" si="1"/>
        <v>-2.2652552015642868E-3</v>
      </c>
      <c r="H51">
        <f t="shared" si="2"/>
        <v>-4.4775410920100944E-7</v>
      </c>
    </row>
    <row r="52" spans="1:8">
      <c r="A52" t="s">
        <v>57</v>
      </c>
      <c r="B52">
        <v>1.4500000000000001E-2</v>
      </c>
      <c r="C52">
        <v>0.3911</v>
      </c>
      <c r="D52">
        <v>665157.87</v>
      </c>
      <c r="E52">
        <f t="shared" si="0"/>
        <v>3772.0770228765</v>
      </c>
      <c r="F52">
        <v>3772.08</v>
      </c>
      <c r="G52">
        <f t="shared" si="1"/>
        <v>2.9771234999316221E-3</v>
      </c>
      <c r="H52">
        <f t="shared" si="2"/>
        <v>7.8925248137145084E-7</v>
      </c>
    </row>
    <row r="53" spans="1:8">
      <c r="A53" t="s">
        <v>58</v>
      </c>
      <c r="B53">
        <v>2.2700000000000001E-2</v>
      </c>
      <c r="C53">
        <v>0.52510000000000001</v>
      </c>
      <c r="D53">
        <v>980068.18</v>
      </c>
      <c r="E53">
        <f t="shared" si="0"/>
        <v>11682.187289918602</v>
      </c>
      <c r="F53">
        <v>11682.19</v>
      </c>
      <c r="G53">
        <f t="shared" si="1"/>
        <v>2.7100813986180583E-3</v>
      </c>
      <c r="H53">
        <f t="shared" si="2"/>
        <v>2.3198402000122051E-7</v>
      </c>
    </row>
    <row r="54" spans="1:8">
      <c r="A54" t="s">
        <v>59</v>
      </c>
      <c r="B54">
        <v>2.1299999999999999E-2</v>
      </c>
      <c r="C54">
        <v>0.40770000000000001</v>
      </c>
      <c r="D54">
        <v>482429.34</v>
      </c>
      <c r="E54">
        <f t="shared" si="0"/>
        <v>4189.4212128534009</v>
      </c>
      <c r="F54">
        <v>4189.42</v>
      </c>
      <c r="G54">
        <f t="shared" si="1"/>
        <v>-1.212853400829772E-3</v>
      </c>
      <c r="H54">
        <f t="shared" si="2"/>
        <v>-2.8950389333840293E-7</v>
      </c>
    </row>
    <row r="55" spans="1:8">
      <c r="A55" t="s">
        <v>60</v>
      </c>
      <c r="B55">
        <v>1.5599999999999999E-2</v>
      </c>
      <c r="C55">
        <v>0.53469999999999995</v>
      </c>
      <c r="D55">
        <v>1150258.3799999999</v>
      </c>
      <c r="E55">
        <f t="shared" si="0"/>
        <v>9594.6732302615983</v>
      </c>
      <c r="F55">
        <v>9594.67</v>
      </c>
      <c r="G55">
        <f t="shared" si="1"/>
        <v>-3.2302615982189309E-3</v>
      </c>
      <c r="H55">
        <f t="shared" si="2"/>
        <v>-3.3667250652903443E-7</v>
      </c>
    </row>
    <row r="56" spans="1:8">
      <c r="A56" t="s">
        <v>61</v>
      </c>
      <c r="B56">
        <v>2.5999999999999999E-2</v>
      </c>
      <c r="C56">
        <v>0.46910000000000002</v>
      </c>
      <c r="D56">
        <v>473628.15</v>
      </c>
      <c r="E56">
        <f t="shared" si="0"/>
        <v>5776.6530942900008</v>
      </c>
      <c r="F56">
        <v>5776.65</v>
      </c>
      <c r="G56">
        <f t="shared" si="1"/>
        <v>-3.0942900011723395E-3</v>
      </c>
      <c r="H56">
        <f t="shared" si="2"/>
        <v>-5.3565474819702418E-7</v>
      </c>
    </row>
    <row r="57" spans="1:8">
      <c r="A57" t="s">
        <v>62</v>
      </c>
      <c r="B57">
        <v>2.1299999999999999E-2</v>
      </c>
      <c r="C57">
        <v>0.54159999999999997</v>
      </c>
      <c r="D57">
        <v>1433867.88</v>
      </c>
      <c r="E57">
        <f t="shared" si="0"/>
        <v>16541.214573110396</v>
      </c>
      <c r="F57">
        <v>16541.21</v>
      </c>
      <c r="G57">
        <f t="shared" si="1"/>
        <v>-4.5731103964499198E-3</v>
      </c>
      <c r="H57">
        <f t="shared" si="2"/>
        <v>-2.7646770680318552E-7</v>
      </c>
    </row>
    <row r="58" spans="1:8">
      <c r="A58" t="s">
        <v>63</v>
      </c>
      <c r="B58">
        <v>1.9E-2</v>
      </c>
      <c r="C58">
        <v>0.51480000000000004</v>
      </c>
      <c r="D58">
        <v>409378.9</v>
      </c>
      <c r="E58">
        <f t="shared" si="0"/>
        <v>4004.2168966800004</v>
      </c>
      <c r="F58">
        <v>4004.22</v>
      </c>
      <c r="G58">
        <f t="shared" si="1"/>
        <v>3.1033199993544258E-3</v>
      </c>
      <c r="H58">
        <f t="shared" si="2"/>
        <v>7.7501236179691077E-7</v>
      </c>
    </row>
    <row r="59" spans="1:8">
      <c r="A59" t="s">
        <v>64</v>
      </c>
      <c r="B59">
        <v>0.1125</v>
      </c>
      <c r="C59">
        <v>0.59489999999999998</v>
      </c>
      <c r="D59">
        <v>285191.46000000002</v>
      </c>
      <c r="E59">
        <f t="shared" si="0"/>
        <v>19086.794949825002</v>
      </c>
      <c r="F59">
        <v>19086.79</v>
      </c>
      <c r="G59">
        <f t="shared" si="1"/>
        <v>-4.949825000949204E-3</v>
      </c>
      <c r="H59">
        <f t="shared" si="2"/>
        <v>-2.5933250174331064E-7</v>
      </c>
    </row>
    <row r="60" spans="1:8">
      <c r="A60" t="s">
        <v>65</v>
      </c>
      <c r="B60">
        <v>2.2100000000000002E-2</v>
      </c>
      <c r="C60">
        <v>0.51329999999999998</v>
      </c>
      <c r="D60">
        <v>665113.05000000005</v>
      </c>
      <c r="E60">
        <f t="shared" si="0"/>
        <v>7544.9958812865007</v>
      </c>
      <c r="F60">
        <v>7545</v>
      </c>
      <c r="G60">
        <f t="shared" si="1"/>
        <v>4.1187134993379004E-3</v>
      </c>
      <c r="H60">
        <f t="shared" si="2"/>
        <v>5.4588648102556665E-7</v>
      </c>
    </row>
    <row r="61" spans="1:8">
      <c r="A61" t="s">
        <v>66</v>
      </c>
      <c r="B61">
        <v>2.0899999999999998E-2</v>
      </c>
      <c r="C61">
        <v>0.58179999999999998</v>
      </c>
      <c r="D61">
        <v>195247.98</v>
      </c>
      <c r="E61">
        <f t="shared" si="0"/>
        <v>2374.1412425675999</v>
      </c>
      <c r="F61">
        <v>2374.14</v>
      </c>
      <c r="G61">
        <f t="shared" si="1"/>
        <v>-1.2425676000020758E-3</v>
      </c>
      <c r="H61">
        <f t="shared" si="2"/>
        <v>-5.2337587505457802E-7</v>
      </c>
    </row>
    <row r="62" spans="1:8">
      <c r="A62" t="s">
        <v>67</v>
      </c>
      <c r="B62">
        <v>2.5600000000000001E-2</v>
      </c>
      <c r="C62">
        <v>0.51719999999999999</v>
      </c>
      <c r="D62">
        <v>913760.73</v>
      </c>
      <c r="E62">
        <f t="shared" si="0"/>
        <v>12098.4844686336</v>
      </c>
      <c r="F62">
        <v>12098.48</v>
      </c>
      <c r="G62">
        <f t="shared" si="1"/>
        <v>-4.468633600481553E-3</v>
      </c>
      <c r="H62">
        <f t="shared" si="2"/>
        <v>-3.6935496033233539E-7</v>
      </c>
    </row>
    <row r="63" spans="1:8">
      <c r="A63" t="s">
        <v>68</v>
      </c>
      <c r="B63">
        <v>2.0400000000000001E-2</v>
      </c>
      <c r="C63">
        <v>0.45779999999999998</v>
      </c>
      <c r="D63">
        <v>332803.36</v>
      </c>
      <c r="E63">
        <f t="shared" si="0"/>
        <v>3108.0905154432003</v>
      </c>
      <c r="F63">
        <v>3108.09</v>
      </c>
      <c r="G63">
        <f t="shared" si="1"/>
        <v>-5.1544320012908429E-4</v>
      </c>
      <c r="H63">
        <f t="shared" si="2"/>
        <v>-1.6583921319173005E-7</v>
      </c>
    </row>
    <row r="64" spans="1:8">
      <c r="A64" t="s">
        <v>69</v>
      </c>
      <c r="B64">
        <v>1.95E-2</v>
      </c>
      <c r="C64">
        <v>0.56979999999999997</v>
      </c>
      <c r="D64">
        <v>280535.84999999998</v>
      </c>
      <c r="E64">
        <f t="shared" si="0"/>
        <v>3117.0618829349992</v>
      </c>
      <c r="F64">
        <v>3117.06</v>
      </c>
      <c r="G64">
        <f t="shared" si="1"/>
        <v>-1.8829349992302014E-3</v>
      </c>
      <c r="H64">
        <f t="shared" si="2"/>
        <v>-6.040740310517608E-7</v>
      </c>
    </row>
    <row r="65" spans="1:8">
      <c r="A65" t="s">
        <v>70</v>
      </c>
      <c r="B65">
        <v>1.4200000000000001E-2</v>
      </c>
      <c r="C65">
        <v>0.56669999999999998</v>
      </c>
      <c r="D65">
        <v>0</v>
      </c>
      <c r="E65">
        <f t="shared" si="0"/>
        <v>0</v>
      </c>
      <c r="F65">
        <v>0</v>
      </c>
      <c r="G65">
        <f t="shared" si="1"/>
        <v>0</v>
      </c>
      <c r="H65">
        <f t="shared" si="2"/>
        <v>0</v>
      </c>
    </row>
    <row r="66" spans="1:8">
      <c r="A66" t="s">
        <v>71</v>
      </c>
      <c r="B66">
        <v>2.1700000000000001E-2</v>
      </c>
      <c r="C66">
        <v>0.44940000000000002</v>
      </c>
      <c r="D66">
        <v>379030.82</v>
      </c>
      <c r="E66">
        <f t="shared" si="0"/>
        <v>3696.3009760236</v>
      </c>
      <c r="F66">
        <v>3696.3</v>
      </c>
      <c r="G66">
        <f t="shared" si="1"/>
        <v>-9.7602359983284259E-4</v>
      </c>
      <c r="H66">
        <f t="shared" si="2"/>
        <v>-2.6405421633331777E-7</v>
      </c>
    </row>
    <row r="67" spans="1:8">
      <c r="A67" t="s">
        <v>72</v>
      </c>
      <c r="B67">
        <v>1.52E-2</v>
      </c>
      <c r="C67">
        <v>0.41959999999999997</v>
      </c>
      <c r="D67">
        <v>1055344.68</v>
      </c>
      <c r="E67">
        <f t="shared" ref="E67:E130" si="3">B67*C67*D67</f>
        <v>6730.903941465599</v>
      </c>
      <c r="F67">
        <v>6730.9</v>
      </c>
      <c r="G67">
        <f t="shared" ref="G67:G130" si="4">F67-E67</f>
        <v>-3.9414655993823544E-3</v>
      </c>
      <c r="H67">
        <f t="shared" ref="H67:H130" si="5">IFERROR(G67/F67,0)</f>
        <v>-5.8557779782530632E-7</v>
      </c>
    </row>
    <row r="68" spans="1:8">
      <c r="A68" t="s">
        <v>73</v>
      </c>
      <c r="B68">
        <v>1.83E-2</v>
      </c>
      <c r="C68">
        <v>0.43090000000000001</v>
      </c>
      <c r="D68">
        <v>812598.25</v>
      </c>
      <c r="E68">
        <f t="shared" si="3"/>
        <v>6407.7191224275002</v>
      </c>
      <c r="F68">
        <v>6407.72</v>
      </c>
      <c r="G68">
        <f t="shared" si="4"/>
        <v>8.7757250003051013E-4</v>
      </c>
      <c r="H68">
        <f t="shared" si="5"/>
        <v>1.3695550055722005E-7</v>
      </c>
    </row>
    <row r="69" spans="1:8">
      <c r="A69" t="s">
        <v>74</v>
      </c>
      <c r="B69">
        <v>1.7000000000000001E-2</v>
      </c>
      <c r="C69">
        <v>0.42399999999999999</v>
      </c>
      <c r="D69">
        <v>1237127.2</v>
      </c>
      <c r="E69">
        <f t="shared" si="3"/>
        <v>8917.2128575999996</v>
      </c>
      <c r="F69">
        <v>8917.2099999999991</v>
      </c>
      <c r="G69">
        <f t="shared" si="4"/>
        <v>-2.8576000004250091E-3</v>
      </c>
      <c r="H69">
        <f t="shared" si="5"/>
        <v>-3.2045897768752885E-7</v>
      </c>
    </row>
    <row r="70" spans="1:8">
      <c r="A70" t="s">
        <v>75</v>
      </c>
      <c r="B70">
        <v>1.54E-2</v>
      </c>
      <c r="C70">
        <v>0.51919999999999999</v>
      </c>
      <c r="D70">
        <v>1058512.26</v>
      </c>
      <c r="E70">
        <f t="shared" si="3"/>
        <v>8463.5253070367999</v>
      </c>
      <c r="F70">
        <v>8463.5300000000007</v>
      </c>
      <c r="G70">
        <f t="shared" si="4"/>
        <v>4.6929632007959299E-3</v>
      </c>
      <c r="H70">
        <f t="shared" si="5"/>
        <v>5.5449241637897298E-7</v>
      </c>
    </row>
    <row r="71" spans="1:8">
      <c r="A71" t="s">
        <v>76</v>
      </c>
      <c r="B71">
        <v>1.5299999999999999E-2</v>
      </c>
      <c r="C71">
        <v>0.42449999999999999</v>
      </c>
      <c r="D71">
        <v>497874.81</v>
      </c>
      <c r="E71">
        <f t="shared" si="3"/>
        <v>3233.6222097284999</v>
      </c>
      <c r="F71">
        <v>3233.62</v>
      </c>
      <c r="G71">
        <f t="shared" si="4"/>
        <v>-2.2097285000199918E-3</v>
      </c>
      <c r="H71">
        <f t="shared" si="5"/>
        <v>-6.8336059896338838E-7</v>
      </c>
    </row>
    <row r="72" spans="1:8">
      <c r="A72" t="s">
        <v>77</v>
      </c>
      <c r="B72">
        <v>1.8200000000000001E-2</v>
      </c>
      <c r="C72">
        <v>0.37930000000000003</v>
      </c>
      <c r="D72">
        <v>473248.37</v>
      </c>
      <c r="E72">
        <f t="shared" si="3"/>
        <v>3266.9565426862</v>
      </c>
      <c r="F72">
        <v>3266.96</v>
      </c>
      <c r="G72">
        <f t="shared" si="4"/>
        <v>3.4573138000268955E-3</v>
      </c>
      <c r="H72">
        <f t="shared" si="5"/>
        <v>1.0582663393573523E-6</v>
      </c>
    </row>
    <row r="73" spans="1:8">
      <c r="A73" t="s">
        <v>78</v>
      </c>
      <c r="B73">
        <v>2.3E-2</v>
      </c>
      <c r="C73">
        <v>0.59260000000000002</v>
      </c>
      <c r="D73">
        <v>695349.57</v>
      </c>
      <c r="E73">
        <f t="shared" si="3"/>
        <v>9477.4755691859991</v>
      </c>
      <c r="F73">
        <v>9477.48</v>
      </c>
      <c r="G73">
        <f t="shared" si="4"/>
        <v>4.4308140004432062E-3</v>
      </c>
      <c r="H73">
        <f t="shared" si="5"/>
        <v>4.675097178198431E-7</v>
      </c>
    </row>
    <row r="74" spans="1:8">
      <c r="A74" t="s">
        <v>79</v>
      </c>
      <c r="B74">
        <v>1.9E-2</v>
      </c>
      <c r="C74">
        <v>0.39140000000000003</v>
      </c>
      <c r="D74">
        <v>594984.46</v>
      </c>
      <c r="E74">
        <f t="shared" si="3"/>
        <v>4424.6614352360002</v>
      </c>
      <c r="F74">
        <v>4424.66</v>
      </c>
      <c r="G74">
        <f t="shared" si="4"/>
        <v>-1.4352360003613285E-3</v>
      </c>
      <c r="H74">
        <f t="shared" si="5"/>
        <v>-3.2437204222727364E-7</v>
      </c>
    </row>
    <row r="75" spans="1:8">
      <c r="A75" t="s">
        <v>80</v>
      </c>
      <c r="B75">
        <v>1.6E-2</v>
      </c>
      <c r="C75">
        <v>0.48720000000000002</v>
      </c>
      <c r="D75">
        <v>1374334.94</v>
      </c>
      <c r="E75">
        <f t="shared" si="3"/>
        <v>10713.215724288</v>
      </c>
      <c r="F75">
        <v>10713.22</v>
      </c>
      <c r="G75">
        <f t="shared" si="4"/>
        <v>4.2757119990710635E-3</v>
      </c>
      <c r="H75">
        <f t="shared" si="5"/>
        <v>3.9910615100511925E-7</v>
      </c>
    </row>
    <row r="76" spans="1:8">
      <c r="A76" t="s">
        <v>81</v>
      </c>
      <c r="B76">
        <v>2.3400000000000001E-2</v>
      </c>
      <c r="C76">
        <v>0.59409999999999996</v>
      </c>
      <c r="D76">
        <v>931434.9</v>
      </c>
      <c r="E76">
        <f t="shared" si="3"/>
        <v>12948.752093706</v>
      </c>
      <c r="F76">
        <v>12948.75</v>
      </c>
      <c r="G76">
        <f t="shared" si="4"/>
        <v>-2.0937059998686891E-3</v>
      </c>
      <c r="H76">
        <f t="shared" si="5"/>
        <v>-1.6169174629741783E-7</v>
      </c>
    </row>
    <row r="77" spans="1:8">
      <c r="A77" t="s">
        <v>82</v>
      </c>
      <c r="B77">
        <v>1.49E-2</v>
      </c>
      <c r="C77">
        <v>0.58840000000000003</v>
      </c>
      <c r="D77">
        <v>436522.6</v>
      </c>
      <c r="E77">
        <f t="shared" si="3"/>
        <v>3827.0634778160002</v>
      </c>
      <c r="F77">
        <v>3827.06</v>
      </c>
      <c r="G77">
        <f t="shared" si="4"/>
        <v>-3.4778160002133518E-3</v>
      </c>
      <c r="H77">
        <f t="shared" si="5"/>
        <v>-9.0874352641802114E-7</v>
      </c>
    </row>
    <row r="78" spans="1:8">
      <c r="A78" t="s">
        <v>83</v>
      </c>
      <c r="B78">
        <v>2.1499999999999998E-2</v>
      </c>
      <c r="C78">
        <v>0.60099999999999998</v>
      </c>
      <c r="D78">
        <v>590086.59</v>
      </c>
      <c r="E78">
        <f t="shared" si="3"/>
        <v>7624.8038726849991</v>
      </c>
      <c r="F78">
        <v>7624.8</v>
      </c>
      <c r="G78">
        <f t="shared" si="4"/>
        <v>-3.8726849988961476E-3</v>
      </c>
      <c r="H78">
        <f t="shared" si="5"/>
        <v>-5.0790643674537659E-7</v>
      </c>
    </row>
    <row r="79" spans="1:8">
      <c r="A79" t="s">
        <v>84</v>
      </c>
      <c r="B79">
        <v>1.41E-2</v>
      </c>
      <c r="C79">
        <v>0.4531</v>
      </c>
      <c r="D79">
        <v>0</v>
      </c>
      <c r="E79">
        <f t="shared" si="3"/>
        <v>0</v>
      </c>
      <c r="F79">
        <v>0</v>
      </c>
      <c r="G79">
        <f t="shared" si="4"/>
        <v>0</v>
      </c>
      <c r="H79">
        <f t="shared" si="5"/>
        <v>0</v>
      </c>
    </row>
    <row r="80" spans="1:8">
      <c r="A80" t="s">
        <v>85</v>
      </c>
      <c r="B80">
        <v>1.8200000000000001E-2</v>
      </c>
      <c r="C80">
        <v>0.4788</v>
      </c>
      <c r="D80">
        <v>198873.14</v>
      </c>
      <c r="E80">
        <f t="shared" si="3"/>
        <v>1733.0123616624003</v>
      </c>
      <c r="F80">
        <v>1733.01</v>
      </c>
      <c r="G80">
        <f t="shared" si="4"/>
        <v>-2.3616624002897879E-3</v>
      </c>
      <c r="H80">
        <f t="shared" si="5"/>
        <v>-1.3627517442425536E-6</v>
      </c>
    </row>
    <row r="81" spans="1:8">
      <c r="A81" t="s">
        <v>86</v>
      </c>
      <c r="B81">
        <v>8.5199999999999998E-2</v>
      </c>
      <c r="C81">
        <v>0.37030000000000002</v>
      </c>
      <c r="D81">
        <v>0</v>
      </c>
      <c r="E81">
        <f t="shared" si="3"/>
        <v>0</v>
      </c>
      <c r="F81">
        <v>0</v>
      </c>
      <c r="G81">
        <f t="shared" si="4"/>
        <v>0</v>
      </c>
      <c r="H81">
        <f t="shared" si="5"/>
        <v>0</v>
      </c>
    </row>
    <row r="82" spans="1:8">
      <c r="A82" t="s">
        <v>87</v>
      </c>
      <c r="B82">
        <v>1.77E-2</v>
      </c>
      <c r="C82">
        <v>0.57250000000000001</v>
      </c>
      <c r="D82">
        <v>741152.75</v>
      </c>
      <c r="E82">
        <f t="shared" si="3"/>
        <v>7510.2861039375002</v>
      </c>
      <c r="F82">
        <v>7510.29</v>
      </c>
      <c r="G82">
        <f t="shared" si="4"/>
        <v>3.8960624997343984E-3</v>
      </c>
      <c r="H82">
        <f t="shared" si="5"/>
        <v>5.1876325677628942E-7</v>
      </c>
    </row>
    <row r="83" spans="1:8">
      <c r="A83" t="s">
        <v>88</v>
      </c>
      <c r="B83">
        <v>1.67E-2</v>
      </c>
      <c r="C83">
        <v>0.50260000000000005</v>
      </c>
      <c r="D83">
        <v>526756.39</v>
      </c>
      <c r="E83">
        <f t="shared" si="3"/>
        <v>4421.2876189538001</v>
      </c>
      <c r="F83">
        <v>4421.29</v>
      </c>
      <c r="G83">
        <f t="shared" si="4"/>
        <v>2.3810461998436949E-3</v>
      </c>
      <c r="H83">
        <f t="shared" si="5"/>
        <v>5.3854105924824988E-7</v>
      </c>
    </row>
    <row r="84" spans="1:8">
      <c r="A84" t="s">
        <v>89</v>
      </c>
      <c r="B84">
        <v>0.1174</v>
      </c>
      <c r="C84">
        <v>0.52749999999999997</v>
      </c>
      <c r="D84">
        <v>288469.26</v>
      </c>
      <c r="E84">
        <f t="shared" si="3"/>
        <v>17864.46856791</v>
      </c>
      <c r="F84">
        <v>17864.47</v>
      </c>
      <c r="G84">
        <f t="shared" si="4"/>
        <v>1.4320900008897297E-3</v>
      </c>
      <c r="H84">
        <f t="shared" si="5"/>
        <v>8.0164147096988018E-8</v>
      </c>
    </row>
    <row r="85" spans="1:8">
      <c r="A85" t="s">
        <v>90</v>
      </c>
      <c r="B85">
        <v>2.01E-2</v>
      </c>
      <c r="C85">
        <v>0.54120000000000001</v>
      </c>
      <c r="D85">
        <v>536663.93999999994</v>
      </c>
      <c r="E85">
        <f t="shared" si="3"/>
        <v>5837.8947389927989</v>
      </c>
      <c r="F85">
        <v>5837.89</v>
      </c>
      <c r="G85">
        <f t="shared" si="4"/>
        <v>-4.7389927985932445E-3</v>
      </c>
      <c r="H85">
        <f t="shared" si="5"/>
        <v>-8.1176466130626724E-7</v>
      </c>
    </row>
    <row r="86" spans="1:8">
      <c r="A86" t="s">
        <v>91</v>
      </c>
      <c r="B86">
        <v>2.3900000000000001E-2</v>
      </c>
      <c r="C86">
        <v>0.55910000000000004</v>
      </c>
      <c r="D86">
        <v>354552.4</v>
      </c>
      <c r="E86">
        <f t="shared" si="3"/>
        <v>4737.7028994760003</v>
      </c>
      <c r="F86">
        <v>4737.7</v>
      </c>
      <c r="G86">
        <f t="shared" si="4"/>
        <v>-2.8994760004934506E-3</v>
      </c>
      <c r="H86">
        <f t="shared" si="5"/>
        <v>-6.120007599665345E-7</v>
      </c>
    </row>
    <row r="87" spans="1:8">
      <c r="A87" t="s">
        <v>92</v>
      </c>
      <c r="B87">
        <v>2.5999999999999999E-2</v>
      </c>
      <c r="C87">
        <v>0.4093</v>
      </c>
      <c r="D87">
        <v>201836.31</v>
      </c>
      <c r="E87">
        <f t="shared" si="3"/>
        <v>2147.9016437579999</v>
      </c>
      <c r="F87">
        <v>2147.9</v>
      </c>
      <c r="G87">
        <f t="shared" si="4"/>
        <v>-1.643757999772788E-3</v>
      </c>
      <c r="H87">
        <f t="shared" si="5"/>
        <v>-7.6528609328776383E-7</v>
      </c>
    </row>
    <row r="88" spans="1:8">
      <c r="A88" t="s">
        <v>93</v>
      </c>
      <c r="B88">
        <v>2.1600000000000001E-2</v>
      </c>
      <c r="C88">
        <v>0.5907</v>
      </c>
      <c r="D88">
        <v>431132.88</v>
      </c>
      <c r="E88">
        <f t="shared" si="3"/>
        <v>5500.8761518656001</v>
      </c>
      <c r="F88">
        <v>5500.88</v>
      </c>
      <c r="G88">
        <f t="shared" si="4"/>
        <v>3.8481343999592355E-3</v>
      </c>
      <c r="H88">
        <f t="shared" si="5"/>
        <v>6.9954887217304054E-7</v>
      </c>
    </row>
    <row r="89" spans="1:8">
      <c r="A89" t="s">
        <v>94</v>
      </c>
      <c r="B89">
        <v>2.52E-2</v>
      </c>
      <c r="C89">
        <v>0.64749999999999996</v>
      </c>
      <c r="D89">
        <v>205207.89</v>
      </c>
      <c r="E89">
        <f t="shared" si="3"/>
        <v>3348.3771411299999</v>
      </c>
      <c r="F89">
        <v>3348.38</v>
      </c>
      <c r="G89">
        <f t="shared" si="4"/>
        <v>2.8588700001819234E-3</v>
      </c>
      <c r="H89">
        <f t="shared" si="5"/>
        <v>8.5380691563738983E-7</v>
      </c>
    </row>
    <row r="90" spans="1:8">
      <c r="A90" t="s">
        <v>95</v>
      </c>
      <c r="B90">
        <v>0.1449</v>
      </c>
      <c r="C90">
        <v>0.60819999999999996</v>
      </c>
      <c r="D90">
        <v>1055028.8500000001</v>
      </c>
      <c r="E90">
        <f t="shared" si="3"/>
        <v>92977.772397993002</v>
      </c>
      <c r="F90">
        <v>92977.77</v>
      </c>
      <c r="G90">
        <f t="shared" si="4"/>
        <v>-2.3979929974302649E-3</v>
      </c>
      <c r="H90">
        <f t="shared" si="5"/>
        <v>-2.5791035829642557E-8</v>
      </c>
    </row>
    <row r="91" spans="1:8">
      <c r="A91" t="s">
        <v>96</v>
      </c>
      <c r="B91">
        <v>1.6199999999999999E-2</v>
      </c>
      <c r="C91">
        <v>0.44550000000000001</v>
      </c>
      <c r="D91">
        <v>1794905.45</v>
      </c>
      <c r="E91">
        <f t="shared" si="3"/>
        <v>12954.012123195</v>
      </c>
      <c r="F91">
        <v>12954.01</v>
      </c>
      <c r="G91">
        <f t="shared" si="4"/>
        <v>-2.1231949995126342E-3</v>
      </c>
      <c r="H91">
        <f t="shared" si="5"/>
        <v>-1.6390252898620844E-7</v>
      </c>
    </row>
    <row r="92" spans="1:8">
      <c r="A92" t="s">
        <v>97</v>
      </c>
      <c r="B92">
        <v>2.35E-2</v>
      </c>
      <c r="C92">
        <v>0.52339999999999998</v>
      </c>
      <c r="D92">
        <v>454281.44</v>
      </c>
      <c r="E92">
        <f t="shared" si="3"/>
        <v>5587.6162838559994</v>
      </c>
      <c r="F92">
        <v>5587.62</v>
      </c>
      <c r="G92">
        <f t="shared" si="4"/>
        <v>3.716144000463828E-3</v>
      </c>
      <c r="H92">
        <f t="shared" si="5"/>
        <v>6.6506741697964936E-7</v>
      </c>
    </row>
    <row r="93" spans="1:8">
      <c r="A93" t="s">
        <v>98</v>
      </c>
      <c r="B93">
        <v>2.1899999999999999E-2</v>
      </c>
      <c r="C93">
        <v>0.43919999999999998</v>
      </c>
      <c r="D93">
        <v>0</v>
      </c>
      <c r="E93">
        <f t="shared" si="3"/>
        <v>0</v>
      </c>
      <c r="F93">
        <v>0</v>
      </c>
      <c r="G93">
        <f t="shared" si="4"/>
        <v>0</v>
      </c>
      <c r="H93">
        <f t="shared" si="5"/>
        <v>0</v>
      </c>
    </row>
    <row r="94" spans="1:8">
      <c r="A94" t="s">
        <v>99</v>
      </c>
      <c r="B94">
        <v>1.67E-2</v>
      </c>
      <c r="C94">
        <v>0.43059999999999998</v>
      </c>
      <c r="D94">
        <v>142683.15</v>
      </c>
      <c r="E94">
        <f t="shared" si="3"/>
        <v>1026.037385313</v>
      </c>
      <c r="F94">
        <v>1026.04</v>
      </c>
      <c r="G94">
        <f t="shared" si="4"/>
        <v>2.6146870000047784E-3</v>
      </c>
      <c r="H94">
        <f t="shared" si="5"/>
        <v>2.548328525208353E-6</v>
      </c>
    </row>
    <row r="95" spans="1:8">
      <c r="A95" t="s">
        <v>100</v>
      </c>
      <c r="B95">
        <v>1</v>
      </c>
      <c r="C95">
        <v>0.4274</v>
      </c>
      <c r="D95">
        <v>652646.25</v>
      </c>
      <c r="E95">
        <f t="shared" si="3"/>
        <v>278941.00725000002</v>
      </c>
      <c r="F95">
        <v>278941.01</v>
      </c>
      <c r="G95">
        <f t="shared" si="4"/>
        <v>2.7499999850988388E-3</v>
      </c>
      <c r="H95">
        <f t="shared" si="5"/>
        <v>9.8587152355218E-9</v>
      </c>
    </row>
    <row r="96" spans="1:8">
      <c r="A96" t="s">
        <v>101</v>
      </c>
      <c r="B96">
        <v>8.6800000000000002E-2</v>
      </c>
      <c r="C96">
        <v>0.6169</v>
      </c>
      <c r="D96">
        <v>527234.77</v>
      </c>
      <c r="E96">
        <f t="shared" si="3"/>
        <v>28231.798050408404</v>
      </c>
      <c r="F96">
        <v>28231.8</v>
      </c>
      <c r="G96">
        <f t="shared" si="4"/>
        <v>1.9495915948937181E-3</v>
      </c>
      <c r="H96">
        <f t="shared" si="5"/>
        <v>6.9056581404434657E-8</v>
      </c>
    </row>
    <row r="97" spans="1:8">
      <c r="A97" t="s">
        <v>102</v>
      </c>
      <c r="B97">
        <v>0.14019999999999999</v>
      </c>
      <c r="C97">
        <v>0.50729999999999997</v>
      </c>
      <c r="D97">
        <v>463899.79</v>
      </c>
      <c r="E97">
        <f t="shared" si="3"/>
        <v>32994.158158073391</v>
      </c>
      <c r="F97">
        <v>32994.160000000003</v>
      </c>
      <c r="G97">
        <f t="shared" si="4"/>
        <v>1.8419266125420108E-3</v>
      </c>
      <c r="H97">
        <f t="shared" si="5"/>
        <v>5.5825837437352873E-8</v>
      </c>
    </row>
    <row r="98" spans="1:8">
      <c r="A98" t="s">
        <v>103</v>
      </c>
      <c r="B98">
        <v>2.4299999999999999E-2</v>
      </c>
      <c r="C98">
        <v>0.54420000000000002</v>
      </c>
      <c r="D98">
        <v>1028983.6</v>
      </c>
      <c r="E98">
        <f t="shared" si="3"/>
        <v>13607.340865415999</v>
      </c>
      <c r="F98">
        <v>13607.34</v>
      </c>
      <c r="G98">
        <f t="shared" si="4"/>
        <v>-8.6541599921474699E-4</v>
      </c>
      <c r="H98">
        <f t="shared" si="5"/>
        <v>-6.3599204489249696E-8</v>
      </c>
    </row>
    <row r="99" spans="1:8">
      <c r="A99" t="s">
        <v>104</v>
      </c>
      <c r="B99">
        <v>2.07E-2</v>
      </c>
      <c r="C99">
        <v>0.52810000000000001</v>
      </c>
      <c r="D99">
        <v>328760.09999999998</v>
      </c>
      <c r="E99">
        <f t="shared" si="3"/>
        <v>3593.8969223670001</v>
      </c>
      <c r="F99">
        <v>3593.9</v>
      </c>
      <c r="G99">
        <f t="shared" si="4"/>
        <v>3.0776329999753216E-3</v>
      </c>
      <c r="H99">
        <f t="shared" si="5"/>
        <v>8.5634909150931345E-7</v>
      </c>
    </row>
    <row r="100" spans="1:8">
      <c r="A100" t="s">
        <v>105</v>
      </c>
      <c r="B100">
        <v>2.41E-2</v>
      </c>
      <c r="C100">
        <v>0.6129</v>
      </c>
      <c r="D100">
        <v>260778.14</v>
      </c>
      <c r="E100">
        <f t="shared" si="3"/>
        <v>3851.9252203446003</v>
      </c>
      <c r="F100">
        <v>3851.93</v>
      </c>
      <c r="G100">
        <f t="shared" si="4"/>
        <v>4.7796553994885471E-3</v>
      </c>
      <c r="H100">
        <f t="shared" si="5"/>
        <v>1.2408468999926134E-6</v>
      </c>
    </row>
    <row r="101" spans="1:8">
      <c r="A101" t="s">
        <v>106</v>
      </c>
      <c r="B101">
        <v>1.5599999999999999E-2</v>
      </c>
      <c r="C101">
        <v>0.41010000000000002</v>
      </c>
      <c r="D101">
        <v>526971.32999999996</v>
      </c>
      <c r="E101">
        <f t="shared" si="3"/>
        <v>3371.3307019547997</v>
      </c>
      <c r="F101">
        <v>3371.33</v>
      </c>
      <c r="G101">
        <f t="shared" si="4"/>
        <v>-7.019547997515474E-4</v>
      </c>
      <c r="H101">
        <f t="shared" si="5"/>
        <v>-2.0821301971374721E-7</v>
      </c>
    </row>
    <row r="102" spans="1:8">
      <c r="A102" t="s">
        <v>107</v>
      </c>
      <c r="B102">
        <v>2.5399999999999999E-2</v>
      </c>
      <c r="C102">
        <v>0.61760000000000004</v>
      </c>
      <c r="D102">
        <v>367452.36</v>
      </c>
      <c r="E102">
        <f t="shared" si="3"/>
        <v>5764.2398694143994</v>
      </c>
      <c r="F102">
        <v>5764.24</v>
      </c>
      <c r="G102">
        <f t="shared" si="4"/>
        <v>1.3058560034551192E-4</v>
      </c>
      <c r="H102">
        <f t="shared" si="5"/>
        <v>2.2654434989783898E-8</v>
      </c>
    </row>
    <row r="103" spans="1:8">
      <c r="A103" t="s">
        <v>108</v>
      </c>
      <c r="B103">
        <v>1</v>
      </c>
      <c r="C103">
        <v>0.42670000000000002</v>
      </c>
      <c r="D103">
        <v>234223.75</v>
      </c>
      <c r="E103">
        <f t="shared" si="3"/>
        <v>99943.274125000011</v>
      </c>
      <c r="F103">
        <v>99943.27</v>
      </c>
      <c r="G103">
        <f t="shared" si="4"/>
        <v>-4.1250000067520887E-3</v>
      </c>
      <c r="H103">
        <f t="shared" si="5"/>
        <v>-4.1273414475552865E-8</v>
      </c>
    </row>
    <row r="104" spans="1:8">
      <c r="A104" t="s">
        <v>109</v>
      </c>
      <c r="B104">
        <v>1.83E-2</v>
      </c>
      <c r="C104">
        <v>0.47289999999999999</v>
      </c>
      <c r="D104">
        <v>840805.33</v>
      </c>
      <c r="E104">
        <f t="shared" si="3"/>
        <v>7276.3881821930991</v>
      </c>
      <c r="F104">
        <v>7276.39</v>
      </c>
      <c r="G104">
        <f t="shared" si="4"/>
        <v>1.8178069012719789E-3</v>
      </c>
      <c r="H104">
        <f t="shared" si="5"/>
        <v>2.4982263200185512E-7</v>
      </c>
    </row>
    <row r="105" spans="1:8">
      <c r="A105" t="s">
        <v>110</v>
      </c>
      <c r="B105">
        <v>1.5100000000000001E-2</v>
      </c>
      <c r="C105">
        <v>0.57750000000000001</v>
      </c>
      <c r="D105">
        <v>0</v>
      </c>
      <c r="E105">
        <f t="shared" si="3"/>
        <v>0</v>
      </c>
      <c r="F105">
        <v>0</v>
      </c>
      <c r="G105">
        <f t="shared" si="4"/>
        <v>0</v>
      </c>
      <c r="H105">
        <f t="shared" si="5"/>
        <v>0</v>
      </c>
    </row>
    <row r="106" spans="1:8">
      <c r="A106" t="s">
        <v>111</v>
      </c>
      <c r="B106">
        <v>1</v>
      </c>
      <c r="C106">
        <v>0.61399999999999999</v>
      </c>
      <c r="D106">
        <v>348495.81</v>
      </c>
      <c r="E106">
        <f t="shared" si="3"/>
        <v>213976.42733999999</v>
      </c>
      <c r="F106">
        <v>213976.43</v>
      </c>
      <c r="G106">
        <f t="shared" si="4"/>
        <v>2.6599999982863665E-3</v>
      </c>
      <c r="H106">
        <f t="shared" si="5"/>
        <v>1.2431275717079524E-8</v>
      </c>
    </row>
    <row r="107" spans="1:8">
      <c r="A107" t="s">
        <v>112</v>
      </c>
      <c r="B107">
        <v>2.3E-2</v>
      </c>
      <c r="C107">
        <v>0.44619999999999999</v>
      </c>
      <c r="D107">
        <v>672159.36</v>
      </c>
      <c r="E107">
        <f t="shared" si="3"/>
        <v>6898.1026479359998</v>
      </c>
      <c r="F107">
        <v>6898.1</v>
      </c>
      <c r="G107">
        <f t="shared" si="4"/>
        <v>-2.6479359994482365E-3</v>
      </c>
      <c r="H107">
        <f t="shared" si="5"/>
        <v>-3.8386454233024116E-7</v>
      </c>
    </row>
    <row r="108" spans="1:8">
      <c r="A108" t="s">
        <v>113</v>
      </c>
      <c r="B108">
        <v>0.88070000000000004</v>
      </c>
      <c r="C108">
        <v>0.53590000000000004</v>
      </c>
      <c r="D108">
        <v>267340.15000000002</v>
      </c>
      <c r="E108">
        <f t="shared" si="3"/>
        <v>126175.76332926952</v>
      </c>
      <c r="F108">
        <v>126175.76</v>
      </c>
      <c r="G108">
        <f t="shared" si="4"/>
        <v>-3.3292695297859609E-3</v>
      </c>
      <c r="H108">
        <f t="shared" si="5"/>
        <v>-2.6385967715082209E-8</v>
      </c>
    </row>
    <row r="109" spans="1:8">
      <c r="A109" t="s">
        <v>114</v>
      </c>
      <c r="B109">
        <v>2.1899999999999999E-2</v>
      </c>
      <c r="C109">
        <v>0.63690000000000002</v>
      </c>
      <c r="D109">
        <v>141022.87</v>
      </c>
      <c r="E109">
        <f t="shared" si="3"/>
        <v>1967.0025032756998</v>
      </c>
      <c r="F109">
        <v>1967</v>
      </c>
      <c r="G109">
        <f t="shared" si="4"/>
        <v>-2.5032756998371042E-3</v>
      </c>
      <c r="H109">
        <f t="shared" si="5"/>
        <v>-1.2726363496884109E-6</v>
      </c>
    </row>
    <row r="110" spans="1:8">
      <c r="A110" t="s">
        <v>115</v>
      </c>
      <c r="B110">
        <v>0.69750000000000001</v>
      </c>
      <c r="C110">
        <v>0.5373</v>
      </c>
      <c r="D110">
        <v>862276.58</v>
      </c>
      <c r="E110">
        <f t="shared" si="3"/>
        <v>323152.59148771496</v>
      </c>
      <c r="F110">
        <v>323152.59000000003</v>
      </c>
      <c r="G110">
        <f t="shared" si="4"/>
        <v>-1.4877149369567633E-3</v>
      </c>
      <c r="H110">
        <f t="shared" si="5"/>
        <v>-4.6037537157191376E-9</v>
      </c>
    </row>
    <row r="111" spans="1:8">
      <c r="A111" t="s">
        <v>116</v>
      </c>
      <c r="B111">
        <v>2.23E-2</v>
      </c>
      <c r="C111">
        <v>0.4385</v>
      </c>
      <c r="D111">
        <v>1009926.39</v>
      </c>
      <c r="E111">
        <f t="shared" si="3"/>
        <v>9875.6157009345006</v>
      </c>
      <c r="F111">
        <v>9875.6200000000008</v>
      </c>
      <c r="G111">
        <f t="shared" si="4"/>
        <v>4.2990655001631239E-3</v>
      </c>
      <c r="H111">
        <f t="shared" si="5"/>
        <v>4.3532107352886438E-7</v>
      </c>
    </row>
    <row r="112" spans="1:8">
      <c r="A112" t="s">
        <v>117</v>
      </c>
      <c r="B112">
        <v>1.6199999999999999E-2</v>
      </c>
      <c r="C112">
        <v>0.40210000000000001</v>
      </c>
      <c r="D112">
        <v>1566466.03</v>
      </c>
      <c r="E112">
        <f t="shared" si="3"/>
        <v>10203.9910487406</v>
      </c>
      <c r="F112">
        <v>10203.99</v>
      </c>
      <c r="G112">
        <f t="shared" si="4"/>
        <v>-1.0487405997992028E-3</v>
      </c>
      <c r="H112">
        <f t="shared" si="5"/>
        <v>-1.0277750172228733E-7</v>
      </c>
    </row>
    <row r="113" spans="1:8">
      <c r="A113" t="s">
        <v>118</v>
      </c>
      <c r="B113">
        <v>1.8200000000000001E-2</v>
      </c>
      <c r="C113">
        <v>0.61499999999999999</v>
      </c>
      <c r="D113">
        <v>434608.74</v>
      </c>
      <c r="E113">
        <f t="shared" si="3"/>
        <v>4864.5756268200003</v>
      </c>
      <c r="F113">
        <v>4864.58</v>
      </c>
      <c r="G113">
        <f t="shared" si="4"/>
        <v>4.3731799996749032E-3</v>
      </c>
      <c r="H113">
        <f t="shared" si="5"/>
        <v>8.989840848901454E-7</v>
      </c>
    </row>
    <row r="114" spans="1:8">
      <c r="A114" t="s">
        <v>119</v>
      </c>
      <c r="B114">
        <v>2.5700000000000001E-2</v>
      </c>
      <c r="C114">
        <v>0.58199999999999996</v>
      </c>
      <c r="D114">
        <v>1085137.94</v>
      </c>
      <c r="E114">
        <f t="shared" si="3"/>
        <v>16230.842223755999</v>
      </c>
      <c r="F114">
        <v>16230.84</v>
      </c>
      <c r="G114">
        <f t="shared" si="4"/>
        <v>-2.2237559987843269E-3</v>
      </c>
      <c r="H114">
        <f t="shared" si="5"/>
        <v>-1.3700806605106863E-7</v>
      </c>
    </row>
    <row r="115" spans="1:8">
      <c r="A115" t="s">
        <v>120</v>
      </c>
      <c r="B115">
        <v>0.1384</v>
      </c>
      <c r="C115">
        <v>0.52569999999999995</v>
      </c>
      <c r="D115">
        <v>335388.68</v>
      </c>
      <c r="E115">
        <f t="shared" si="3"/>
        <v>24401.8339441184</v>
      </c>
      <c r="F115">
        <v>24401.83</v>
      </c>
      <c r="G115">
        <f t="shared" si="4"/>
        <v>-3.9441183980670758E-3</v>
      </c>
      <c r="H115">
        <f t="shared" si="5"/>
        <v>-1.6163207423652551E-7</v>
      </c>
    </row>
    <row r="116" spans="1:8">
      <c r="A116" t="s">
        <v>121</v>
      </c>
      <c r="B116">
        <v>9.9199999999999997E-2</v>
      </c>
      <c r="C116">
        <v>0.62170000000000003</v>
      </c>
      <c r="D116">
        <v>275482.12</v>
      </c>
      <c r="E116">
        <f t="shared" si="3"/>
        <v>16989.709613196799</v>
      </c>
      <c r="F116">
        <v>16989.71</v>
      </c>
      <c r="G116">
        <f t="shared" si="4"/>
        <v>3.8680319994455203E-4</v>
      </c>
      <c r="H116">
        <f t="shared" si="5"/>
        <v>2.2766910085254666E-8</v>
      </c>
    </row>
    <row r="117" spans="1:8">
      <c r="A117" t="s">
        <v>122</v>
      </c>
      <c r="B117">
        <v>2.3699999999999999E-2</v>
      </c>
      <c r="C117">
        <v>0.63759999999999994</v>
      </c>
      <c r="D117">
        <v>298532.49</v>
      </c>
      <c r="E117">
        <f t="shared" si="3"/>
        <v>4511.1602802887992</v>
      </c>
      <c r="F117">
        <v>4511.16</v>
      </c>
      <c r="G117">
        <f t="shared" si="4"/>
        <v>-2.8028879933117423E-4</v>
      </c>
      <c r="H117">
        <f t="shared" si="5"/>
        <v>-6.2132311718310641E-8</v>
      </c>
    </row>
    <row r="118" spans="1:8">
      <c r="A118" t="s">
        <v>123</v>
      </c>
      <c r="B118">
        <v>2.3199999999999998E-2</v>
      </c>
      <c r="C118">
        <v>0.4138</v>
      </c>
      <c r="D118">
        <v>887535.78</v>
      </c>
      <c r="E118">
        <f t="shared" si="3"/>
        <v>8520.4854937248001</v>
      </c>
      <c r="F118">
        <v>8520.49</v>
      </c>
      <c r="G118">
        <f t="shared" si="4"/>
        <v>4.5062751996738371E-3</v>
      </c>
      <c r="H118">
        <f t="shared" si="5"/>
        <v>5.2887512334077469E-7</v>
      </c>
    </row>
    <row r="119" spans="1:8">
      <c r="A119" t="s">
        <v>124</v>
      </c>
      <c r="B119">
        <v>1.8700000000000001E-2</v>
      </c>
      <c r="C119">
        <v>0.62539999999999996</v>
      </c>
      <c r="D119">
        <v>200010.59</v>
      </c>
      <c r="E119">
        <f t="shared" si="3"/>
        <v>2339.1198498382</v>
      </c>
      <c r="F119">
        <v>2339.12</v>
      </c>
      <c r="G119">
        <f t="shared" si="4"/>
        <v>1.5016179986560019E-4</v>
      </c>
      <c r="H119">
        <f t="shared" si="5"/>
        <v>6.4195851373850078E-8</v>
      </c>
    </row>
    <row r="120" spans="1:8">
      <c r="A120" t="s">
        <v>125</v>
      </c>
      <c r="B120">
        <v>1.5900000000000001E-2</v>
      </c>
      <c r="C120">
        <v>0.53059999999999996</v>
      </c>
      <c r="D120">
        <v>327414.84999999998</v>
      </c>
      <c r="E120">
        <f t="shared" si="3"/>
        <v>2762.2484786189998</v>
      </c>
      <c r="F120">
        <v>2762.25</v>
      </c>
      <c r="G120">
        <f t="shared" si="4"/>
        <v>1.521381000202382E-3</v>
      </c>
      <c r="H120">
        <f t="shared" si="5"/>
        <v>5.5077599790112484E-7</v>
      </c>
    </row>
    <row r="121" spans="1:8">
      <c r="A121" t="s">
        <v>126</v>
      </c>
      <c r="B121">
        <v>2.4400000000000002E-2</v>
      </c>
      <c r="C121">
        <v>0.4012</v>
      </c>
      <c r="D121">
        <v>429022.62</v>
      </c>
      <c r="E121">
        <f t="shared" si="3"/>
        <v>4199.8225535136007</v>
      </c>
      <c r="F121">
        <v>4199.82</v>
      </c>
      <c r="G121">
        <f t="shared" si="4"/>
        <v>-2.5535136010148562E-3</v>
      </c>
      <c r="H121">
        <f t="shared" si="5"/>
        <v>-6.080054861910407E-7</v>
      </c>
    </row>
    <row r="122" spans="1:8">
      <c r="A122" t="s">
        <v>127</v>
      </c>
      <c r="B122">
        <v>2.1899999999999999E-2</v>
      </c>
      <c r="C122">
        <v>0.62060000000000004</v>
      </c>
      <c r="D122">
        <v>1817627.91</v>
      </c>
      <c r="E122">
        <f t="shared" si="3"/>
        <v>24703.635392717399</v>
      </c>
      <c r="F122">
        <v>24703.64</v>
      </c>
      <c r="G122">
        <f t="shared" si="4"/>
        <v>4.6072826007730328E-3</v>
      </c>
      <c r="H122">
        <f t="shared" si="5"/>
        <v>1.865021754192108E-7</v>
      </c>
    </row>
    <row r="123" spans="1:8">
      <c r="A123" t="s">
        <v>128</v>
      </c>
      <c r="B123">
        <v>1.8499999999999999E-2</v>
      </c>
      <c r="C123">
        <v>0.41160000000000002</v>
      </c>
      <c r="D123">
        <v>2041875.44</v>
      </c>
      <c r="E123">
        <f t="shared" si="3"/>
        <v>15548.064725423999</v>
      </c>
      <c r="F123">
        <v>15548.06</v>
      </c>
      <c r="G123">
        <f t="shared" si="4"/>
        <v>-4.7254239998437697E-3</v>
      </c>
      <c r="H123">
        <f t="shared" si="5"/>
        <v>-3.0392370494092319E-7</v>
      </c>
    </row>
    <row r="124" spans="1:8">
      <c r="A124" t="s">
        <v>129</v>
      </c>
      <c r="B124">
        <v>1.66E-2</v>
      </c>
      <c r="C124">
        <v>0.47020000000000001</v>
      </c>
      <c r="D124">
        <v>2161269.9900000002</v>
      </c>
      <c r="E124">
        <f t="shared" si="3"/>
        <v>16869.403878346802</v>
      </c>
      <c r="F124">
        <v>16869.400000000001</v>
      </c>
      <c r="G124">
        <f t="shared" si="4"/>
        <v>-3.8783468007750344E-3</v>
      </c>
      <c r="H124">
        <f t="shared" si="5"/>
        <v>-2.2990425271645904E-7</v>
      </c>
    </row>
    <row r="125" spans="1:8">
      <c r="A125" t="s">
        <v>130</v>
      </c>
      <c r="B125">
        <v>0.90869999999999995</v>
      </c>
      <c r="C125">
        <v>0.55220000000000002</v>
      </c>
      <c r="D125">
        <v>46283.79</v>
      </c>
      <c r="E125">
        <f t="shared" si="3"/>
        <v>23224.471761090601</v>
      </c>
      <c r="F125">
        <v>23224.47</v>
      </c>
      <c r="G125">
        <f t="shared" si="4"/>
        <v>-1.7610905997571535E-3</v>
      </c>
      <c r="H125">
        <f t="shared" si="5"/>
        <v>-7.5829097488862106E-8</v>
      </c>
    </row>
    <row r="126" spans="1:8">
      <c r="A126" t="s">
        <v>131</v>
      </c>
      <c r="B126">
        <v>0.14710000000000001</v>
      </c>
      <c r="C126">
        <v>0.59389999999999998</v>
      </c>
      <c r="D126">
        <v>244926.51</v>
      </c>
      <c r="E126">
        <f t="shared" si="3"/>
        <v>21397.438765911902</v>
      </c>
      <c r="F126">
        <v>21397.439999999999</v>
      </c>
      <c r="G126">
        <f t="shared" si="4"/>
        <v>1.2340880966803525E-3</v>
      </c>
      <c r="H126">
        <f t="shared" si="5"/>
        <v>5.7674567456684189E-8</v>
      </c>
    </row>
    <row r="127" spans="1:8">
      <c r="A127" t="s">
        <v>132</v>
      </c>
      <c r="B127">
        <v>1.6199999999999999E-2</v>
      </c>
      <c r="C127">
        <v>0.57379999999999998</v>
      </c>
      <c r="D127">
        <v>467077.53</v>
      </c>
      <c r="E127">
        <f t="shared" si="3"/>
        <v>4341.7472047667998</v>
      </c>
      <c r="F127">
        <v>4341.75</v>
      </c>
      <c r="G127">
        <f t="shared" si="4"/>
        <v>2.7952332002314506E-3</v>
      </c>
      <c r="H127">
        <f t="shared" si="5"/>
        <v>6.4380335123658675E-7</v>
      </c>
    </row>
    <row r="128" spans="1:8">
      <c r="A128" t="s">
        <v>133</v>
      </c>
      <c r="B128">
        <v>1.8800000000000001E-2</v>
      </c>
      <c r="C128">
        <v>0.57509999999999994</v>
      </c>
      <c r="D128">
        <v>106702.87</v>
      </c>
      <c r="E128">
        <f t="shared" si="3"/>
        <v>1153.6586260955999</v>
      </c>
      <c r="F128">
        <v>1153.6600000000001</v>
      </c>
      <c r="G128">
        <f t="shared" si="4"/>
        <v>1.3739044002250012E-3</v>
      </c>
      <c r="H128">
        <f t="shared" si="5"/>
        <v>1.190909280225544E-6</v>
      </c>
    </row>
    <row r="129" spans="1:8">
      <c r="A129" t="s">
        <v>134</v>
      </c>
      <c r="B129">
        <v>1.6199999999999999E-2</v>
      </c>
      <c r="C129">
        <v>0.38929999999999998</v>
      </c>
      <c r="D129">
        <v>273522.32</v>
      </c>
      <c r="E129">
        <f t="shared" si="3"/>
        <v>1725.0122746512</v>
      </c>
      <c r="F129">
        <v>1725.01</v>
      </c>
      <c r="G129">
        <f t="shared" si="4"/>
        <v>-2.2746511999685026E-3</v>
      </c>
      <c r="H129">
        <f t="shared" si="5"/>
        <v>-1.3186307325572042E-6</v>
      </c>
    </row>
    <row r="130" spans="1:8">
      <c r="A130" t="s">
        <v>135</v>
      </c>
      <c r="B130">
        <v>1.7100000000000001E-2</v>
      </c>
      <c r="C130">
        <v>0.45810000000000001</v>
      </c>
      <c r="D130">
        <v>593191.25</v>
      </c>
      <c r="E130">
        <f t="shared" si="3"/>
        <v>4646.7695887874997</v>
      </c>
      <c r="F130">
        <v>4646.7700000000004</v>
      </c>
      <c r="G130">
        <f t="shared" si="4"/>
        <v>4.1121250069409143E-4</v>
      </c>
      <c r="H130">
        <f t="shared" si="5"/>
        <v>8.8494266058808886E-8</v>
      </c>
    </row>
    <row r="131" spans="1:8">
      <c r="A131" t="s">
        <v>136</v>
      </c>
      <c r="B131">
        <v>1.7299999999999999E-2</v>
      </c>
      <c r="C131">
        <v>0.48349999999999999</v>
      </c>
      <c r="D131">
        <v>1441585.12</v>
      </c>
      <c r="E131">
        <f t="shared" ref="E131:E194" si="6">B131*C131*D131</f>
        <v>12058.210815496001</v>
      </c>
      <c r="F131">
        <v>12058.21</v>
      </c>
      <c r="G131">
        <f t="shared" ref="G131:G194" si="7">F131-E131</f>
        <v>-8.1549600145081058E-4</v>
      </c>
      <c r="H131">
        <f t="shared" ref="H131:H194" si="8">IFERROR(G131/F131,0)</f>
        <v>-6.762993856059984E-8</v>
      </c>
    </row>
    <row r="132" spans="1:8">
      <c r="A132" t="s">
        <v>137</v>
      </c>
      <c r="B132">
        <v>1.5599999999999999E-2</v>
      </c>
      <c r="C132">
        <v>0.60160000000000002</v>
      </c>
      <c r="D132">
        <v>0</v>
      </c>
      <c r="E132">
        <f t="shared" si="6"/>
        <v>0</v>
      </c>
      <c r="F132">
        <v>0</v>
      </c>
      <c r="G132">
        <f t="shared" si="7"/>
        <v>0</v>
      </c>
      <c r="H132">
        <f t="shared" si="8"/>
        <v>0</v>
      </c>
    </row>
    <row r="133" spans="1:8">
      <c r="A133" t="s">
        <v>138</v>
      </c>
      <c r="B133">
        <v>2.23E-2</v>
      </c>
      <c r="C133">
        <v>0.49759999999999999</v>
      </c>
      <c r="D133">
        <v>668326.23</v>
      </c>
      <c r="E133">
        <f t="shared" si="6"/>
        <v>7416.0686446704003</v>
      </c>
      <c r="F133">
        <v>7416.07</v>
      </c>
      <c r="G133">
        <f t="shared" si="7"/>
        <v>1.3553295993915526E-3</v>
      </c>
      <c r="H133">
        <f t="shared" si="8"/>
        <v>1.8275577218008362E-7</v>
      </c>
    </row>
    <row r="134" spans="1:8">
      <c r="A134" t="s">
        <v>139</v>
      </c>
      <c r="B134">
        <v>2.1399999999999999E-2</v>
      </c>
      <c r="C134">
        <v>0.43159999999999998</v>
      </c>
      <c r="D134">
        <v>683518.48</v>
      </c>
      <c r="E134">
        <f t="shared" si="6"/>
        <v>6313.1407257151996</v>
      </c>
      <c r="F134">
        <v>6313.14</v>
      </c>
      <c r="G134">
        <f t="shared" si="7"/>
        <v>-7.2571519922348671E-4</v>
      </c>
      <c r="H134">
        <f t="shared" si="8"/>
        <v>-1.1495312938149426E-7</v>
      </c>
    </row>
    <row r="135" spans="1:8">
      <c r="A135" t="s">
        <v>140</v>
      </c>
      <c r="B135">
        <v>2.5700000000000001E-2</v>
      </c>
      <c r="C135">
        <v>0.56440000000000001</v>
      </c>
      <c r="D135">
        <v>110109.21</v>
      </c>
      <c r="E135">
        <f t="shared" si="6"/>
        <v>1597.1428997868002</v>
      </c>
      <c r="F135">
        <v>1597.14</v>
      </c>
      <c r="G135">
        <f t="shared" si="7"/>
        <v>-2.8997868000715243E-3</v>
      </c>
      <c r="H135">
        <f t="shared" si="8"/>
        <v>-1.8156121567749378E-6</v>
      </c>
    </row>
    <row r="136" spans="1:8">
      <c r="A136" t="s">
        <v>141</v>
      </c>
      <c r="B136">
        <v>0.94610000000000005</v>
      </c>
      <c r="C136">
        <v>0.39650000000000002</v>
      </c>
      <c r="D136">
        <v>309150.89</v>
      </c>
      <c r="E136">
        <f t="shared" si="6"/>
        <v>115971.35601199852</v>
      </c>
      <c r="F136">
        <v>115971.36</v>
      </c>
      <c r="G136">
        <f t="shared" si="7"/>
        <v>3.9880014810478315E-3</v>
      </c>
      <c r="H136">
        <f t="shared" si="8"/>
        <v>3.4387813345017523E-8</v>
      </c>
    </row>
    <row r="137" spans="1:8">
      <c r="A137" t="s">
        <v>142</v>
      </c>
      <c r="B137">
        <v>0.13669999999999999</v>
      </c>
      <c r="C137">
        <v>0.43259999999999998</v>
      </c>
      <c r="D137">
        <v>320897.49</v>
      </c>
      <c r="E137">
        <f t="shared" si="6"/>
        <v>18976.728745585799</v>
      </c>
      <c r="F137">
        <v>18976.73</v>
      </c>
      <c r="G137">
        <f t="shared" si="7"/>
        <v>1.2544142009573989E-3</v>
      </c>
      <c r="H137">
        <f t="shared" si="8"/>
        <v>6.6102758534130958E-8</v>
      </c>
    </row>
    <row r="138" spans="1:8">
      <c r="A138" t="s">
        <v>143</v>
      </c>
      <c r="B138">
        <v>2.0299999999999999E-2</v>
      </c>
      <c r="C138">
        <v>0.37</v>
      </c>
      <c r="D138">
        <v>164132.66</v>
      </c>
      <c r="E138">
        <f t="shared" si="6"/>
        <v>1232.8004092599999</v>
      </c>
      <c r="F138">
        <v>1232.8</v>
      </c>
      <c r="G138">
        <f t="shared" si="7"/>
        <v>-4.0925999996943574E-4</v>
      </c>
      <c r="H138">
        <f t="shared" si="8"/>
        <v>-3.3197598959233919E-7</v>
      </c>
    </row>
    <row r="139" spans="1:8">
      <c r="A139" t="s">
        <v>144</v>
      </c>
      <c r="B139">
        <v>2.4E-2</v>
      </c>
      <c r="C139">
        <v>0.37340000000000001</v>
      </c>
      <c r="D139">
        <v>0</v>
      </c>
      <c r="E139">
        <f t="shared" si="6"/>
        <v>0</v>
      </c>
      <c r="F139">
        <v>0</v>
      </c>
      <c r="G139">
        <f t="shared" si="7"/>
        <v>0</v>
      </c>
      <c r="H139">
        <f t="shared" si="8"/>
        <v>0</v>
      </c>
    </row>
    <row r="140" spans="1:8">
      <c r="A140" t="s">
        <v>145</v>
      </c>
      <c r="B140">
        <v>1.89E-2</v>
      </c>
      <c r="C140">
        <v>0.54</v>
      </c>
      <c r="D140">
        <v>1097770.74</v>
      </c>
      <c r="E140">
        <f t="shared" si="6"/>
        <v>11203.848172440001</v>
      </c>
      <c r="F140">
        <v>11203.85</v>
      </c>
      <c r="G140">
        <f t="shared" si="7"/>
        <v>1.8275599995831726E-3</v>
      </c>
      <c r="H140">
        <f t="shared" si="8"/>
        <v>1.6311892783134123E-7</v>
      </c>
    </row>
    <row r="141" spans="1:8">
      <c r="A141" t="s">
        <v>146</v>
      </c>
      <c r="B141">
        <v>1.84E-2</v>
      </c>
      <c r="C141">
        <v>0.52459999999999996</v>
      </c>
      <c r="D141">
        <v>258624.92</v>
      </c>
      <c r="E141">
        <f t="shared" si="6"/>
        <v>2496.4132477887997</v>
      </c>
      <c r="F141">
        <v>2496.41</v>
      </c>
      <c r="G141">
        <f t="shared" si="7"/>
        <v>-3.247788799853879E-3</v>
      </c>
      <c r="H141">
        <f t="shared" si="8"/>
        <v>-1.3009837325815387E-6</v>
      </c>
    </row>
    <row r="142" spans="1:8">
      <c r="A142" t="s">
        <v>147</v>
      </c>
      <c r="B142">
        <v>2.0500000000000001E-2</v>
      </c>
      <c r="C142">
        <v>0.39489999999999997</v>
      </c>
      <c r="D142">
        <v>636937.06000000006</v>
      </c>
      <c r="E142">
        <f t="shared" si="6"/>
        <v>5156.2921223770009</v>
      </c>
      <c r="F142">
        <v>5156.29</v>
      </c>
      <c r="G142">
        <f t="shared" si="7"/>
        <v>-2.1223770008873544E-3</v>
      </c>
      <c r="H142">
        <f t="shared" si="8"/>
        <v>-4.1160931617254932E-7</v>
      </c>
    </row>
    <row r="143" spans="1:8">
      <c r="A143" t="s">
        <v>148</v>
      </c>
      <c r="B143">
        <v>1.6899999999999998E-2</v>
      </c>
      <c r="C143">
        <v>0.4299</v>
      </c>
      <c r="D143">
        <v>1694559.43</v>
      </c>
      <c r="E143">
        <f t="shared" si="6"/>
        <v>12311.499572373299</v>
      </c>
      <c r="F143">
        <v>12311.5</v>
      </c>
      <c r="G143">
        <f t="shared" si="7"/>
        <v>4.2762670091178734E-4</v>
      </c>
      <c r="H143">
        <f t="shared" si="8"/>
        <v>3.4733923641456149E-8</v>
      </c>
    </row>
    <row r="144" spans="1:8">
      <c r="A144" t="s">
        <v>149</v>
      </c>
      <c r="B144">
        <v>1.8100000000000002E-2</v>
      </c>
      <c r="C144">
        <v>0.59130000000000005</v>
      </c>
      <c r="D144">
        <v>317072.62</v>
      </c>
      <c r="E144">
        <f t="shared" si="6"/>
        <v>3393.4792277286006</v>
      </c>
      <c r="F144">
        <v>3393.48</v>
      </c>
      <c r="G144">
        <f t="shared" si="7"/>
        <v>7.7227139945534873E-4</v>
      </c>
      <c r="H144">
        <f t="shared" si="8"/>
        <v>2.275750555345394E-7</v>
      </c>
    </row>
    <row r="145" spans="1:8">
      <c r="A145" t="s">
        <v>150</v>
      </c>
      <c r="B145">
        <v>2.58E-2</v>
      </c>
      <c r="C145">
        <v>0.50260000000000005</v>
      </c>
      <c r="D145">
        <v>829647.83</v>
      </c>
      <c r="E145">
        <f t="shared" si="6"/>
        <v>10758.109783436399</v>
      </c>
      <c r="F145">
        <v>10758.11</v>
      </c>
      <c r="G145">
        <f t="shared" si="7"/>
        <v>2.1656360149790999E-4</v>
      </c>
      <c r="H145">
        <f t="shared" si="8"/>
        <v>2.0130264655958154E-8</v>
      </c>
    </row>
    <row r="146" spans="1:8">
      <c r="A146" t="s">
        <v>151</v>
      </c>
      <c r="B146">
        <v>1.9E-2</v>
      </c>
      <c r="C146">
        <v>0.52190000000000003</v>
      </c>
      <c r="D146">
        <v>498491.18</v>
      </c>
      <c r="E146">
        <f t="shared" si="6"/>
        <v>4943.0883899979999</v>
      </c>
      <c r="F146">
        <v>4943.09</v>
      </c>
      <c r="G146">
        <f t="shared" si="7"/>
        <v>1.6100020002340898E-3</v>
      </c>
      <c r="H146">
        <f t="shared" si="8"/>
        <v>3.2570760399549465E-7</v>
      </c>
    </row>
    <row r="147" spans="1:8">
      <c r="A147" t="s">
        <v>152</v>
      </c>
      <c r="B147">
        <v>2.29E-2</v>
      </c>
      <c r="C147">
        <v>0.59650000000000003</v>
      </c>
      <c r="D147">
        <v>2275296.4500000002</v>
      </c>
      <c r="E147">
        <f t="shared" si="6"/>
        <v>31080.208212532507</v>
      </c>
      <c r="F147">
        <v>31080.21</v>
      </c>
      <c r="G147">
        <f t="shared" si="7"/>
        <v>1.7874674922495615E-3</v>
      </c>
      <c r="H147">
        <f t="shared" si="8"/>
        <v>5.7511435484173417E-8</v>
      </c>
    </row>
    <row r="148" spans="1:8">
      <c r="A148" t="s">
        <v>153</v>
      </c>
      <c r="B148">
        <v>2.3099999999999999E-2</v>
      </c>
      <c r="C148">
        <v>0.36980000000000002</v>
      </c>
      <c r="D148">
        <v>606414.86</v>
      </c>
      <c r="E148">
        <f t="shared" si="6"/>
        <v>5180.2261717667998</v>
      </c>
      <c r="F148">
        <v>5180.2299999999996</v>
      </c>
      <c r="G148">
        <f t="shared" si="7"/>
        <v>3.8282331997834262E-3</v>
      </c>
      <c r="H148">
        <f t="shared" si="8"/>
        <v>7.3900834514749854E-7</v>
      </c>
    </row>
    <row r="149" spans="1:8">
      <c r="A149" t="s">
        <v>154</v>
      </c>
      <c r="B149">
        <v>0.67989999999999995</v>
      </c>
      <c r="C149">
        <v>0.43830000000000002</v>
      </c>
      <c r="D149">
        <v>622288.56000000006</v>
      </c>
      <c r="E149">
        <f t="shared" si="6"/>
        <v>185442.09666905523</v>
      </c>
      <c r="F149">
        <v>185442.1</v>
      </c>
      <c r="G149">
        <f t="shared" si="7"/>
        <v>3.330944775370881E-3</v>
      </c>
      <c r="H149">
        <f t="shared" si="8"/>
        <v>1.7962182133242026E-8</v>
      </c>
    </row>
    <row r="150" spans="1:8">
      <c r="A150" t="s">
        <v>155</v>
      </c>
      <c r="B150">
        <v>1.8499999999999999E-2</v>
      </c>
      <c r="C150">
        <v>0.4642</v>
      </c>
      <c r="D150">
        <v>529676.61</v>
      </c>
      <c r="E150">
        <f t="shared" si="6"/>
        <v>4548.7038236970002</v>
      </c>
      <c r="F150">
        <v>4548.7</v>
      </c>
      <c r="G150">
        <f t="shared" si="7"/>
        <v>-3.8236970003708848E-3</v>
      </c>
      <c r="H150">
        <f t="shared" si="8"/>
        <v>-8.4061314229799389E-7</v>
      </c>
    </row>
    <row r="151" spans="1:8">
      <c r="A151" t="s">
        <v>156</v>
      </c>
      <c r="B151">
        <v>2.46E-2</v>
      </c>
      <c r="C151">
        <v>0.43340000000000001</v>
      </c>
      <c r="D151">
        <v>304164.5</v>
      </c>
      <c r="E151">
        <f t="shared" si="6"/>
        <v>3242.8923997799998</v>
      </c>
      <c r="F151">
        <v>3242.89</v>
      </c>
      <c r="G151">
        <f t="shared" si="7"/>
        <v>-2.3997799999051495E-3</v>
      </c>
      <c r="H151">
        <f t="shared" si="8"/>
        <v>-7.4001276636122392E-7</v>
      </c>
    </row>
    <row r="152" spans="1:8">
      <c r="A152" t="s">
        <v>157</v>
      </c>
      <c r="B152">
        <v>1.7500000000000002E-2</v>
      </c>
      <c r="C152">
        <v>0.39040000000000002</v>
      </c>
      <c r="D152">
        <v>29708.95</v>
      </c>
      <c r="E152">
        <f t="shared" si="6"/>
        <v>202.97154640000005</v>
      </c>
      <c r="F152">
        <v>202.97</v>
      </c>
      <c r="G152">
        <f t="shared" si="7"/>
        <v>-1.5464000000520173E-3</v>
      </c>
      <c r="H152">
        <f t="shared" si="8"/>
        <v>-7.618859930295203E-6</v>
      </c>
    </row>
    <row r="153" spans="1:8">
      <c r="A153" t="s">
        <v>158</v>
      </c>
      <c r="B153">
        <v>2.3599999999999999E-2</v>
      </c>
      <c r="C153">
        <v>0.64970000000000006</v>
      </c>
      <c r="D153">
        <v>627536.81000000006</v>
      </c>
      <c r="E153">
        <f t="shared" si="6"/>
        <v>9621.9717047852027</v>
      </c>
      <c r="F153">
        <v>9621.9699999999993</v>
      </c>
      <c r="G153">
        <f t="shared" si="7"/>
        <v>-1.7047852034011157E-3</v>
      </c>
      <c r="H153">
        <f t="shared" si="8"/>
        <v>-1.7717631663797704E-7</v>
      </c>
    </row>
    <row r="154" spans="1:8">
      <c r="A154" t="s">
        <v>159</v>
      </c>
      <c r="B154">
        <v>2.4E-2</v>
      </c>
      <c r="C154">
        <v>0.43980000000000002</v>
      </c>
      <c r="D154">
        <v>354483.42</v>
      </c>
      <c r="E154">
        <f t="shared" si="6"/>
        <v>3741.6433947840001</v>
      </c>
      <c r="F154">
        <v>3741.64</v>
      </c>
      <c r="G154">
        <f t="shared" si="7"/>
        <v>-3.3947840001928853E-3</v>
      </c>
      <c r="H154">
        <f t="shared" si="8"/>
        <v>-9.0729840395999761E-7</v>
      </c>
    </row>
    <row r="155" spans="1:8">
      <c r="A155" t="s">
        <v>160</v>
      </c>
      <c r="B155">
        <v>1.8499999999999999E-2</v>
      </c>
      <c r="C155">
        <v>0.36120000000000002</v>
      </c>
      <c r="D155">
        <v>342882.36</v>
      </c>
      <c r="E155">
        <f t="shared" si="6"/>
        <v>2291.208505992</v>
      </c>
      <c r="F155">
        <v>2291.21</v>
      </c>
      <c r="G155">
        <f t="shared" si="7"/>
        <v>1.4940080000087619E-3</v>
      </c>
      <c r="H155">
        <f t="shared" si="8"/>
        <v>6.5206070155453313E-7</v>
      </c>
    </row>
    <row r="156" spans="1:8">
      <c r="A156" t="s">
        <v>161</v>
      </c>
      <c r="B156">
        <v>0.13</v>
      </c>
      <c r="C156">
        <v>0.41299999999999998</v>
      </c>
      <c r="D156">
        <v>835521.02</v>
      </c>
      <c r="E156">
        <f t="shared" si="6"/>
        <v>44859.1235638</v>
      </c>
      <c r="F156">
        <v>44859.12</v>
      </c>
      <c r="G156">
        <f t="shared" si="7"/>
        <v>-3.5637999972095713E-3</v>
      </c>
      <c r="H156">
        <f t="shared" si="8"/>
        <v>-7.9444269018419687E-8</v>
      </c>
    </row>
    <row r="157" spans="1:8">
      <c r="A157" t="s">
        <v>162</v>
      </c>
      <c r="B157">
        <v>1.8700000000000001E-2</v>
      </c>
      <c r="C157">
        <v>0.56140000000000001</v>
      </c>
      <c r="D157">
        <v>459625</v>
      </c>
      <c r="E157">
        <f t="shared" si="6"/>
        <v>4825.2259825000001</v>
      </c>
      <c r="F157">
        <v>4825.2299999999996</v>
      </c>
      <c r="G157">
        <f t="shared" si="7"/>
        <v>4.0174999994633254E-3</v>
      </c>
      <c r="H157">
        <f t="shared" si="8"/>
        <v>8.3260279809736026E-7</v>
      </c>
    </row>
    <row r="158" spans="1:8">
      <c r="A158" t="s">
        <v>163</v>
      </c>
      <c r="B158">
        <v>0.11849999999999999</v>
      </c>
      <c r="C158">
        <v>0.60370000000000001</v>
      </c>
      <c r="D158">
        <v>786972.29</v>
      </c>
      <c r="E158">
        <f t="shared" si="6"/>
        <v>56298.777819550509</v>
      </c>
      <c r="F158">
        <v>56298.78</v>
      </c>
      <c r="G158">
        <f t="shared" si="7"/>
        <v>2.1804494899697602E-3</v>
      </c>
      <c r="H158">
        <f t="shared" si="8"/>
        <v>3.87299598671545E-8</v>
      </c>
    </row>
    <row r="159" spans="1:8">
      <c r="A159" t="s">
        <v>164</v>
      </c>
      <c r="B159">
        <v>1.7899999999999999E-2</v>
      </c>
      <c r="C159">
        <v>0.37930000000000003</v>
      </c>
      <c r="D159">
        <v>1672725.37</v>
      </c>
      <c r="E159">
        <f t="shared" si="6"/>
        <v>11356.918717853901</v>
      </c>
      <c r="F159">
        <v>11356.92</v>
      </c>
      <c r="G159">
        <f t="shared" si="7"/>
        <v>1.282146098674275E-3</v>
      </c>
      <c r="H159">
        <f t="shared" si="8"/>
        <v>1.1289558248841014E-7</v>
      </c>
    </row>
    <row r="160" spans="1:8">
      <c r="A160" t="s">
        <v>165</v>
      </c>
      <c r="B160">
        <v>2.4199999999999999E-2</v>
      </c>
      <c r="C160">
        <v>0.60580000000000001</v>
      </c>
      <c r="D160">
        <v>1597335.99</v>
      </c>
      <c r="E160">
        <f t="shared" si="6"/>
        <v>23417.520654356398</v>
      </c>
      <c r="F160">
        <v>23417.52</v>
      </c>
      <c r="G160">
        <f t="shared" si="7"/>
        <v>-6.5435639771749265E-4</v>
      </c>
      <c r="H160">
        <f t="shared" si="8"/>
        <v>-2.7943027174418668E-8</v>
      </c>
    </row>
    <row r="161" spans="1:8">
      <c r="A161" t="s">
        <v>166</v>
      </c>
      <c r="B161">
        <v>2.2700000000000001E-2</v>
      </c>
      <c r="C161">
        <v>0.496</v>
      </c>
      <c r="D161">
        <v>619782.40000000002</v>
      </c>
      <c r="E161">
        <f t="shared" si="6"/>
        <v>6978.2539980800002</v>
      </c>
      <c r="F161">
        <v>6978.25</v>
      </c>
      <c r="G161">
        <f t="shared" si="7"/>
        <v>-3.9980800002012984E-3</v>
      </c>
      <c r="H161">
        <f t="shared" si="8"/>
        <v>-5.7293447500466426E-7</v>
      </c>
    </row>
    <row r="162" spans="1:8">
      <c r="A162" t="s">
        <v>167</v>
      </c>
      <c r="B162">
        <v>0.1366</v>
      </c>
      <c r="C162">
        <v>0.50790000000000002</v>
      </c>
      <c r="D162">
        <v>932231.7</v>
      </c>
      <c r="E162">
        <f t="shared" si="6"/>
        <v>64677.433626737999</v>
      </c>
      <c r="F162">
        <v>64677.43</v>
      </c>
      <c r="G162">
        <f t="shared" si="7"/>
        <v>-3.6267379982746206E-3</v>
      </c>
      <c r="H162">
        <f t="shared" si="8"/>
        <v>-5.6074244110729515E-8</v>
      </c>
    </row>
    <row r="163" spans="1:8">
      <c r="A163" t="s">
        <v>168</v>
      </c>
      <c r="B163">
        <v>2.1600000000000001E-2</v>
      </c>
      <c r="C163">
        <v>0.52339999999999998</v>
      </c>
      <c r="D163">
        <v>568907.16</v>
      </c>
      <c r="E163">
        <f t="shared" si="6"/>
        <v>6431.7457629504006</v>
      </c>
      <c r="F163">
        <v>6431.75</v>
      </c>
      <c r="G163">
        <f t="shared" si="7"/>
        <v>4.2370495993964141E-3</v>
      </c>
      <c r="H163">
        <f t="shared" si="8"/>
        <v>6.5877087874939384E-7</v>
      </c>
    </row>
    <row r="164" spans="1:8">
      <c r="A164" t="s">
        <v>169</v>
      </c>
      <c r="B164">
        <v>2.1100000000000001E-2</v>
      </c>
      <c r="C164">
        <v>0.59650000000000003</v>
      </c>
      <c r="D164">
        <v>435170.01</v>
      </c>
      <c r="E164">
        <f t="shared" si="6"/>
        <v>5477.1150213615001</v>
      </c>
      <c r="F164">
        <v>5477.12</v>
      </c>
      <c r="G164">
        <f t="shared" si="7"/>
        <v>4.9786384997787536E-3</v>
      </c>
      <c r="H164">
        <f t="shared" si="8"/>
        <v>9.0898839166911688E-7</v>
      </c>
    </row>
    <row r="165" spans="1:8">
      <c r="A165" t="s">
        <v>170</v>
      </c>
      <c r="B165">
        <v>2.2100000000000002E-2</v>
      </c>
      <c r="C165">
        <v>0.63849999999999996</v>
      </c>
      <c r="D165">
        <v>36532</v>
      </c>
      <c r="E165">
        <f t="shared" si="6"/>
        <v>515.49757220000004</v>
      </c>
      <c r="F165">
        <v>515.5</v>
      </c>
      <c r="G165">
        <f t="shared" si="7"/>
        <v>2.4277999999640087E-3</v>
      </c>
      <c r="H165">
        <f t="shared" si="8"/>
        <v>4.7096023277672334E-6</v>
      </c>
    </row>
    <row r="166" spans="1:8">
      <c r="A166" t="s">
        <v>171</v>
      </c>
      <c r="B166">
        <v>1.44E-2</v>
      </c>
      <c r="C166">
        <v>0.53580000000000005</v>
      </c>
      <c r="D166">
        <v>741611.35</v>
      </c>
      <c r="E166">
        <f t="shared" si="6"/>
        <v>5721.9172031520002</v>
      </c>
      <c r="F166">
        <v>5721.92</v>
      </c>
      <c r="G166">
        <f t="shared" si="7"/>
        <v>2.7968479998889961E-3</v>
      </c>
      <c r="H166">
        <f t="shared" si="8"/>
        <v>4.8879536936709986E-7</v>
      </c>
    </row>
    <row r="167" spans="1:8">
      <c r="A167" t="s">
        <v>172</v>
      </c>
      <c r="B167">
        <v>1.61E-2</v>
      </c>
      <c r="C167">
        <v>0.49759999999999999</v>
      </c>
      <c r="D167">
        <v>0</v>
      </c>
      <c r="E167">
        <f t="shared" si="6"/>
        <v>0</v>
      </c>
      <c r="F167">
        <v>0</v>
      </c>
      <c r="G167">
        <f t="shared" si="7"/>
        <v>0</v>
      </c>
      <c r="H167">
        <f t="shared" si="8"/>
        <v>0</v>
      </c>
    </row>
    <row r="168" spans="1:8">
      <c r="A168" t="s">
        <v>173</v>
      </c>
      <c r="B168">
        <v>2.0799999999999999E-2</v>
      </c>
      <c r="C168">
        <v>0.63049999999999995</v>
      </c>
      <c r="D168">
        <v>0</v>
      </c>
      <c r="E168">
        <f t="shared" si="6"/>
        <v>0</v>
      </c>
      <c r="F168">
        <v>0</v>
      </c>
      <c r="G168">
        <f t="shared" si="7"/>
        <v>0</v>
      </c>
      <c r="H168">
        <f t="shared" si="8"/>
        <v>0</v>
      </c>
    </row>
    <row r="169" spans="1:8">
      <c r="A169" t="s">
        <v>174</v>
      </c>
      <c r="B169">
        <v>0.02</v>
      </c>
      <c r="C169">
        <v>0.63949999999999996</v>
      </c>
      <c r="D169">
        <v>633356.86</v>
      </c>
      <c r="E169">
        <f t="shared" si="6"/>
        <v>8100.6342393999994</v>
      </c>
      <c r="F169">
        <v>8100.63</v>
      </c>
      <c r="G169">
        <f t="shared" si="7"/>
        <v>-4.2393999992782483E-3</v>
      </c>
      <c r="H169">
        <f t="shared" si="8"/>
        <v>-5.2334201158159904E-7</v>
      </c>
    </row>
    <row r="170" spans="1:8">
      <c r="A170" t="s">
        <v>175</v>
      </c>
      <c r="B170">
        <v>2.3800000000000002E-2</v>
      </c>
      <c r="C170">
        <v>0.38190000000000002</v>
      </c>
      <c r="D170">
        <v>90951.95</v>
      </c>
      <c r="E170">
        <f t="shared" si="6"/>
        <v>826.68228297899998</v>
      </c>
      <c r="F170">
        <v>826.68</v>
      </c>
      <c r="G170">
        <f t="shared" si="7"/>
        <v>-2.2829790000287176E-3</v>
      </c>
      <c r="H170">
        <f t="shared" si="8"/>
        <v>-2.761623602879854E-6</v>
      </c>
    </row>
    <row r="171" spans="1:8">
      <c r="A171" t="s">
        <v>176</v>
      </c>
      <c r="B171">
        <v>0.114</v>
      </c>
      <c r="C171">
        <v>0.59219999999999995</v>
      </c>
      <c r="D171">
        <v>1164470.3999999999</v>
      </c>
      <c r="E171">
        <f t="shared" si="6"/>
        <v>78614.328280319984</v>
      </c>
      <c r="F171">
        <v>78614.33</v>
      </c>
      <c r="G171">
        <f t="shared" si="7"/>
        <v>1.7196800181409344E-3</v>
      </c>
      <c r="H171">
        <f t="shared" si="8"/>
        <v>2.1874892505487668E-8</v>
      </c>
    </row>
    <row r="172" spans="1:8">
      <c r="A172" t="s">
        <v>177</v>
      </c>
      <c r="B172">
        <v>0.02</v>
      </c>
      <c r="C172">
        <v>0.39789999999999998</v>
      </c>
      <c r="D172">
        <v>631807.88</v>
      </c>
      <c r="E172">
        <f t="shared" si="6"/>
        <v>5027.9271090399998</v>
      </c>
      <c r="F172">
        <v>5027.93</v>
      </c>
      <c r="G172">
        <f t="shared" si="7"/>
        <v>2.8909600005135871E-3</v>
      </c>
      <c r="H172">
        <f t="shared" si="8"/>
        <v>5.7498016092379703E-7</v>
      </c>
    </row>
    <row r="173" spans="1:8">
      <c r="A173" t="s">
        <v>178</v>
      </c>
      <c r="B173">
        <v>1.47E-2</v>
      </c>
      <c r="C173">
        <v>0.48080000000000001</v>
      </c>
      <c r="D173">
        <v>569338.31000000006</v>
      </c>
      <c r="E173">
        <f t="shared" si="6"/>
        <v>4023.9465338856007</v>
      </c>
      <c r="F173">
        <v>4023.95</v>
      </c>
      <c r="G173">
        <f t="shared" si="7"/>
        <v>3.4661143990888377E-3</v>
      </c>
      <c r="H173">
        <f t="shared" si="8"/>
        <v>8.6137114007103414E-7</v>
      </c>
    </row>
    <row r="174" spans="1:8">
      <c r="A174" t="s">
        <v>179</v>
      </c>
      <c r="B174">
        <v>0.72140000000000004</v>
      </c>
      <c r="C174">
        <v>0.4803</v>
      </c>
      <c r="D174">
        <v>98886.98</v>
      </c>
      <c r="E174">
        <f t="shared" si="6"/>
        <v>34263.193458771602</v>
      </c>
      <c r="F174">
        <v>34263.19</v>
      </c>
      <c r="G174">
        <f t="shared" si="7"/>
        <v>-3.4587715999805368E-3</v>
      </c>
      <c r="H174">
        <f t="shared" si="8"/>
        <v>-1.0094715640839445E-7</v>
      </c>
    </row>
    <row r="175" spans="1:8">
      <c r="A175" t="s">
        <v>180</v>
      </c>
      <c r="B175">
        <v>2.4299999999999999E-2</v>
      </c>
      <c r="C175">
        <v>0.57420000000000004</v>
      </c>
      <c r="D175">
        <v>242714.77</v>
      </c>
      <c r="E175">
        <f t="shared" si="6"/>
        <v>3386.6137486961998</v>
      </c>
      <c r="F175">
        <v>3386.61</v>
      </c>
      <c r="G175">
        <f t="shared" si="7"/>
        <v>-3.7486961996364698E-3</v>
      </c>
      <c r="H175">
        <f t="shared" si="8"/>
        <v>-1.1069170053937328E-6</v>
      </c>
    </row>
    <row r="176" spans="1:8">
      <c r="A176" t="s">
        <v>181</v>
      </c>
      <c r="B176">
        <v>0.13070000000000001</v>
      </c>
      <c r="C176">
        <v>0.5615</v>
      </c>
      <c r="D176">
        <v>423539.99</v>
      </c>
      <c r="E176">
        <f t="shared" si="6"/>
        <v>31082.773963119504</v>
      </c>
      <c r="F176">
        <v>31082.77</v>
      </c>
      <c r="G176">
        <f t="shared" si="7"/>
        <v>-3.9631195031688549E-3</v>
      </c>
      <c r="H176">
        <f t="shared" si="8"/>
        <v>-1.2750213392078168E-7</v>
      </c>
    </row>
    <row r="177" spans="1:8">
      <c r="A177" t="s">
        <v>182</v>
      </c>
      <c r="B177">
        <v>2.5499999999999998E-2</v>
      </c>
      <c r="C177">
        <v>0.37309999999999999</v>
      </c>
      <c r="D177">
        <v>1292055.2</v>
      </c>
      <c r="E177">
        <f t="shared" si="6"/>
        <v>12292.67777556</v>
      </c>
      <c r="F177">
        <v>12292.68</v>
      </c>
      <c r="G177">
        <f t="shared" si="7"/>
        <v>2.2244400006456999E-3</v>
      </c>
      <c r="H177">
        <f t="shared" si="8"/>
        <v>1.8095647170882995E-7</v>
      </c>
    </row>
    <row r="178" spans="1:8">
      <c r="A178" t="s">
        <v>183</v>
      </c>
      <c r="B178">
        <v>2.4799999999999999E-2</v>
      </c>
      <c r="C178">
        <v>0.44190000000000002</v>
      </c>
      <c r="D178">
        <v>532274.97</v>
      </c>
      <c r="E178">
        <f t="shared" si="6"/>
        <v>5833.2652692263991</v>
      </c>
      <c r="F178">
        <v>5833.27</v>
      </c>
      <c r="G178">
        <f t="shared" si="7"/>
        <v>4.7307736012953683E-3</v>
      </c>
      <c r="H178">
        <f t="shared" si="8"/>
        <v>8.1099856534934405E-7</v>
      </c>
    </row>
    <row r="179" spans="1:8">
      <c r="A179" t="s">
        <v>184</v>
      </c>
      <c r="B179">
        <v>1.8499999999999999E-2</v>
      </c>
      <c r="C179">
        <v>0.51200000000000001</v>
      </c>
      <c r="D179">
        <v>518426.6</v>
      </c>
      <c r="E179">
        <f t="shared" si="6"/>
        <v>4910.5367551999998</v>
      </c>
      <c r="F179">
        <v>4910.54</v>
      </c>
      <c r="G179">
        <f t="shared" si="7"/>
        <v>3.2448000001750188E-3</v>
      </c>
      <c r="H179">
        <f t="shared" si="8"/>
        <v>6.6078272454251846E-7</v>
      </c>
    </row>
    <row r="180" spans="1:8">
      <c r="A180" t="s">
        <v>185</v>
      </c>
      <c r="B180">
        <v>2.1000000000000001E-2</v>
      </c>
      <c r="C180">
        <v>0.41660000000000003</v>
      </c>
      <c r="D180">
        <v>508484.69</v>
      </c>
      <c r="E180">
        <f t="shared" si="6"/>
        <v>4448.5291589340004</v>
      </c>
      <c r="F180">
        <v>4448.53</v>
      </c>
      <c r="G180">
        <f t="shared" si="7"/>
        <v>8.4106599933875259E-4</v>
      </c>
      <c r="H180">
        <f t="shared" si="8"/>
        <v>1.8906605088394429E-7</v>
      </c>
    </row>
    <row r="181" spans="1:8">
      <c r="A181" t="s">
        <v>186</v>
      </c>
      <c r="B181">
        <v>0.66620000000000001</v>
      </c>
      <c r="C181">
        <v>0.5262</v>
      </c>
      <c r="D181">
        <v>541049.75</v>
      </c>
      <c r="E181">
        <f t="shared" si="6"/>
        <v>189667.39212339002</v>
      </c>
      <c r="F181">
        <v>189667.39</v>
      </c>
      <c r="G181">
        <f t="shared" si="7"/>
        <v>-2.1233900042716414E-3</v>
      </c>
      <c r="H181">
        <f t="shared" si="8"/>
        <v>-1.1195335182667095E-8</v>
      </c>
    </row>
    <row r="182" spans="1:8">
      <c r="A182" t="s">
        <v>187</v>
      </c>
      <c r="B182">
        <v>1.6199999999999999E-2</v>
      </c>
      <c r="C182">
        <v>0.622</v>
      </c>
      <c r="D182">
        <v>560786.77</v>
      </c>
      <c r="E182">
        <f t="shared" si="6"/>
        <v>5650.7118092279998</v>
      </c>
      <c r="F182">
        <v>5650.71</v>
      </c>
      <c r="G182">
        <f t="shared" si="7"/>
        <v>-1.8092279997290461E-3</v>
      </c>
      <c r="H182">
        <f t="shared" si="8"/>
        <v>-3.2017711043905031E-7</v>
      </c>
    </row>
    <row r="183" spans="1:8">
      <c r="A183" t="s">
        <v>188</v>
      </c>
      <c r="B183">
        <v>2.0199999999999999E-2</v>
      </c>
      <c r="C183">
        <v>0.57989999999999997</v>
      </c>
      <c r="D183">
        <v>2673046.67</v>
      </c>
      <c r="E183">
        <f t="shared" si="6"/>
        <v>31312.015231446596</v>
      </c>
      <c r="F183">
        <v>31312.02</v>
      </c>
      <c r="G183">
        <f t="shared" si="7"/>
        <v>4.7685534045740496E-3</v>
      </c>
      <c r="H183">
        <f t="shared" si="8"/>
        <v>1.5229146521284955E-7</v>
      </c>
    </row>
    <row r="184" spans="1:8">
      <c r="A184" t="s">
        <v>189</v>
      </c>
      <c r="B184">
        <v>1.9E-2</v>
      </c>
      <c r="C184">
        <v>0.62480000000000002</v>
      </c>
      <c r="D184">
        <v>400728.92</v>
      </c>
      <c r="E184">
        <f t="shared" si="6"/>
        <v>4757.1331551040003</v>
      </c>
      <c r="F184">
        <v>4757.13</v>
      </c>
      <c r="G184">
        <f t="shared" si="7"/>
        <v>-3.1551040001431829E-3</v>
      </c>
      <c r="H184">
        <f t="shared" si="8"/>
        <v>-6.6323686763724826E-7</v>
      </c>
    </row>
    <row r="185" spans="1:8">
      <c r="A185" t="s">
        <v>190</v>
      </c>
      <c r="B185">
        <v>1.9599999999999999E-2</v>
      </c>
      <c r="C185">
        <v>0.62260000000000004</v>
      </c>
      <c r="D185">
        <v>521335.49</v>
      </c>
      <c r="E185">
        <f t="shared" si="6"/>
        <v>6361.8361310504006</v>
      </c>
      <c r="F185">
        <v>6361.84</v>
      </c>
      <c r="G185">
        <f t="shared" si="7"/>
        <v>3.8689495995640755E-3</v>
      </c>
      <c r="H185">
        <f t="shared" si="8"/>
        <v>6.0814946612364905E-7</v>
      </c>
    </row>
    <row r="186" spans="1:8">
      <c r="A186" t="s">
        <v>191</v>
      </c>
      <c r="B186">
        <v>2.5000000000000001E-2</v>
      </c>
      <c r="C186">
        <v>0.60540000000000005</v>
      </c>
      <c r="D186">
        <v>185688.35</v>
      </c>
      <c r="E186">
        <f t="shared" si="6"/>
        <v>2810.3931772500005</v>
      </c>
      <c r="F186">
        <v>2810.39</v>
      </c>
      <c r="G186">
        <f t="shared" si="7"/>
        <v>-3.1772500005899929E-3</v>
      </c>
      <c r="H186">
        <f t="shared" si="8"/>
        <v>-1.1305370431114518E-6</v>
      </c>
    </row>
    <row r="187" spans="1:8">
      <c r="A187" t="s">
        <v>192</v>
      </c>
      <c r="B187">
        <v>1.6299999999999999E-2</v>
      </c>
      <c r="C187">
        <v>0.37090000000000001</v>
      </c>
      <c r="D187">
        <v>472764.93</v>
      </c>
      <c r="E187">
        <f t="shared" si="6"/>
        <v>2858.1807543530999</v>
      </c>
      <c r="F187">
        <v>2858.18</v>
      </c>
      <c r="G187">
        <f t="shared" si="7"/>
        <v>-7.5435310009197565E-4</v>
      </c>
      <c r="H187">
        <f t="shared" si="8"/>
        <v>-2.6392777924832433E-7</v>
      </c>
    </row>
    <row r="188" spans="1:8">
      <c r="A188" t="s">
        <v>193</v>
      </c>
      <c r="B188">
        <v>1.83E-2</v>
      </c>
      <c r="C188">
        <v>0.55000000000000004</v>
      </c>
      <c r="D188">
        <v>272865.23</v>
      </c>
      <c r="E188">
        <f t="shared" si="6"/>
        <v>2746.38853995</v>
      </c>
      <c r="F188">
        <v>2746.39</v>
      </c>
      <c r="G188">
        <f t="shared" si="7"/>
        <v>1.4600499998778105E-3</v>
      </c>
      <c r="H188">
        <f t="shared" si="8"/>
        <v>5.316251515181058E-7</v>
      </c>
    </row>
    <row r="189" spans="1:8">
      <c r="A189" t="s">
        <v>194</v>
      </c>
      <c r="B189">
        <v>2.5399999999999999E-2</v>
      </c>
      <c r="C189">
        <v>0.35949999999999999</v>
      </c>
      <c r="D189">
        <v>325086.02</v>
      </c>
      <c r="E189">
        <f t="shared" si="6"/>
        <v>2968.4579744259995</v>
      </c>
      <c r="F189">
        <v>2968.46</v>
      </c>
      <c r="G189">
        <f t="shared" si="7"/>
        <v>2.0255740005268308E-3</v>
      </c>
      <c r="H189">
        <f t="shared" si="8"/>
        <v>6.8236526701617359E-7</v>
      </c>
    </row>
    <row r="190" spans="1:8">
      <c r="A190" t="s">
        <v>195</v>
      </c>
      <c r="B190">
        <v>2.3199999999999998E-2</v>
      </c>
      <c r="C190">
        <v>0.43530000000000002</v>
      </c>
      <c r="D190">
        <v>853290.46</v>
      </c>
      <c r="E190">
        <f t="shared" si="6"/>
        <v>8617.3462239216005</v>
      </c>
      <c r="F190">
        <v>8617.35</v>
      </c>
      <c r="G190">
        <f t="shared" si="7"/>
        <v>3.7760783998237457E-3</v>
      </c>
      <c r="H190">
        <f t="shared" si="8"/>
        <v>4.38194851064857E-7</v>
      </c>
    </row>
    <row r="191" spans="1:8">
      <c r="A191" t="s">
        <v>196</v>
      </c>
      <c r="B191">
        <v>1.7899999999999999E-2</v>
      </c>
      <c r="C191">
        <v>0.37930000000000003</v>
      </c>
      <c r="D191">
        <v>683243.65</v>
      </c>
      <c r="E191">
        <f t="shared" si="6"/>
        <v>4638.8622643655008</v>
      </c>
      <c r="F191">
        <v>4638.8599999999997</v>
      </c>
      <c r="G191">
        <f t="shared" si="7"/>
        <v>-2.2643655011052033E-3</v>
      </c>
      <c r="H191">
        <f t="shared" si="8"/>
        <v>-4.8812973469887069E-7</v>
      </c>
    </row>
    <row r="192" spans="1:8">
      <c r="A192" t="s">
        <v>197</v>
      </c>
      <c r="B192">
        <v>2.01E-2</v>
      </c>
      <c r="C192">
        <v>0.44</v>
      </c>
      <c r="D192">
        <v>477011.67</v>
      </c>
      <c r="E192">
        <f t="shared" si="6"/>
        <v>4218.69120948</v>
      </c>
      <c r="F192">
        <v>4218.6899999999996</v>
      </c>
      <c r="G192">
        <f t="shared" si="7"/>
        <v>-1.2094800003978889E-3</v>
      </c>
      <c r="H192">
        <f t="shared" si="8"/>
        <v>-2.8669563309887408E-7</v>
      </c>
    </row>
    <row r="193" spans="1:8">
      <c r="A193" t="s">
        <v>198</v>
      </c>
      <c r="B193">
        <v>2.4199999999999999E-2</v>
      </c>
      <c r="C193">
        <v>0.43009999999999998</v>
      </c>
      <c r="D193">
        <v>1115492.31</v>
      </c>
      <c r="E193">
        <f t="shared" si="6"/>
        <v>11610.5124692502</v>
      </c>
      <c r="F193">
        <v>11610.51</v>
      </c>
      <c r="G193">
        <f t="shared" si="7"/>
        <v>-2.4692501992831239E-3</v>
      </c>
      <c r="H193">
        <f t="shared" si="8"/>
        <v>-2.126737067780075E-7</v>
      </c>
    </row>
    <row r="194" spans="1:8">
      <c r="A194" t="s">
        <v>199</v>
      </c>
      <c r="B194">
        <v>2.53E-2</v>
      </c>
      <c r="C194">
        <v>0.56730000000000003</v>
      </c>
      <c r="D194">
        <v>0</v>
      </c>
      <c r="E194">
        <f t="shared" si="6"/>
        <v>0</v>
      </c>
      <c r="F194">
        <v>0</v>
      </c>
      <c r="G194">
        <f t="shared" si="7"/>
        <v>0</v>
      </c>
      <c r="H194">
        <f t="shared" si="8"/>
        <v>0</v>
      </c>
    </row>
    <row r="195" spans="1:8">
      <c r="A195" t="s">
        <v>200</v>
      </c>
      <c r="B195">
        <v>2.0500000000000001E-2</v>
      </c>
      <c r="C195">
        <v>0.49249999999999999</v>
      </c>
      <c r="D195">
        <v>319260.65000000002</v>
      </c>
      <c r="E195">
        <f t="shared" ref="E195:E258" si="9">B195*C195*D195</f>
        <v>3223.3353375625006</v>
      </c>
      <c r="F195">
        <v>3223.34</v>
      </c>
      <c r="G195">
        <f t="shared" ref="G195:G258" si="10">F195-E195</f>
        <v>4.662437499519001E-3</v>
      </c>
      <c r="H195">
        <f t="shared" ref="H195:H258" si="11">IFERROR(G195/F195,0)</f>
        <v>1.4464615893821319E-6</v>
      </c>
    </row>
    <row r="196" spans="1:8">
      <c r="A196" t="s">
        <v>201</v>
      </c>
      <c r="B196">
        <v>0.14080000000000001</v>
      </c>
      <c r="C196">
        <v>0.43219999999999997</v>
      </c>
      <c r="D196">
        <v>378219.31</v>
      </c>
      <c r="E196">
        <f t="shared" si="9"/>
        <v>23016.067118105599</v>
      </c>
      <c r="F196">
        <v>23016.07</v>
      </c>
      <c r="G196">
        <f t="shared" si="10"/>
        <v>2.8818944010708947E-3</v>
      </c>
      <c r="H196">
        <f t="shared" si="11"/>
        <v>1.2521227129874452E-7</v>
      </c>
    </row>
    <row r="197" spans="1:8">
      <c r="A197" t="s">
        <v>202</v>
      </c>
      <c r="B197">
        <v>2.4199999999999999E-2</v>
      </c>
      <c r="C197">
        <v>0.55569999999999997</v>
      </c>
      <c r="D197">
        <v>283683.65000000002</v>
      </c>
      <c r="E197">
        <f t="shared" si="9"/>
        <v>3814.960704181</v>
      </c>
      <c r="F197">
        <v>3814.96</v>
      </c>
      <c r="G197">
        <f t="shared" si="10"/>
        <v>-7.0418099994640215E-4</v>
      </c>
      <c r="H197">
        <f t="shared" si="11"/>
        <v>-1.8458411095959122E-7</v>
      </c>
    </row>
    <row r="198" spans="1:8">
      <c r="A198" t="s">
        <v>203</v>
      </c>
      <c r="B198">
        <v>2.2599999999999999E-2</v>
      </c>
      <c r="C198">
        <v>0.48049999999999998</v>
      </c>
      <c r="D198">
        <v>247040.19</v>
      </c>
      <c r="E198">
        <f t="shared" si="9"/>
        <v>2682.6835352669996</v>
      </c>
      <c r="F198">
        <v>2682.68</v>
      </c>
      <c r="G198">
        <f t="shared" si="10"/>
        <v>-3.5352669997337216E-3</v>
      </c>
      <c r="H198">
        <f t="shared" si="11"/>
        <v>-1.317811665846736E-6</v>
      </c>
    </row>
    <row r="199" spans="1:8">
      <c r="A199" t="s">
        <v>204</v>
      </c>
      <c r="B199">
        <v>2.2200000000000001E-2</v>
      </c>
      <c r="C199">
        <v>0.56399999999999995</v>
      </c>
      <c r="D199">
        <v>329138.98</v>
      </c>
      <c r="E199">
        <f t="shared" si="9"/>
        <v>4121.0833407839991</v>
      </c>
      <c r="F199">
        <v>4121.08</v>
      </c>
      <c r="G199">
        <f t="shared" si="10"/>
        <v>-3.3407839991923538E-3</v>
      </c>
      <c r="H199">
        <f t="shared" si="11"/>
        <v>-8.1065740029127163E-7</v>
      </c>
    </row>
    <row r="200" spans="1:8">
      <c r="A200" t="s">
        <v>205</v>
      </c>
      <c r="B200">
        <v>1.5699999999999999E-2</v>
      </c>
      <c r="C200">
        <v>0.3851</v>
      </c>
      <c r="D200">
        <v>217007.13</v>
      </c>
      <c r="E200">
        <f t="shared" si="9"/>
        <v>1312.0402984790999</v>
      </c>
      <c r="F200">
        <v>1312.04</v>
      </c>
      <c r="G200">
        <f t="shared" si="10"/>
        <v>-2.9847909991076449E-4</v>
      </c>
      <c r="H200">
        <f t="shared" si="11"/>
        <v>-2.2749237821313718E-7</v>
      </c>
    </row>
    <row r="201" spans="1:8">
      <c r="A201" t="s">
        <v>206</v>
      </c>
      <c r="B201">
        <v>1.95E-2</v>
      </c>
      <c r="C201">
        <v>0.38369999999999999</v>
      </c>
      <c r="D201">
        <v>823246.13</v>
      </c>
      <c r="E201">
        <f t="shared" si="9"/>
        <v>6159.6510315795003</v>
      </c>
      <c r="F201">
        <v>6159.65</v>
      </c>
      <c r="G201">
        <f t="shared" si="10"/>
        <v>-1.0315795007045381E-3</v>
      </c>
      <c r="H201">
        <f t="shared" si="11"/>
        <v>-1.674737202121124E-7</v>
      </c>
    </row>
    <row r="202" spans="1:8">
      <c r="A202" t="s">
        <v>207</v>
      </c>
      <c r="B202">
        <v>2.4E-2</v>
      </c>
      <c r="C202">
        <v>0.54790000000000005</v>
      </c>
      <c r="D202">
        <v>620616.56999999995</v>
      </c>
      <c r="E202">
        <f t="shared" si="9"/>
        <v>8160.8596488719995</v>
      </c>
      <c r="F202">
        <v>8160.86</v>
      </c>
      <c r="G202">
        <f t="shared" si="10"/>
        <v>3.511280001475825E-4</v>
      </c>
      <c r="H202">
        <f t="shared" si="11"/>
        <v>4.3025857587016869E-8</v>
      </c>
    </row>
    <row r="203" spans="1:8">
      <c r="A203" t="s">
        <v>208</v>
      </c>
      <c r="B203">
        <v>2.4799999999999999E-2</v>
      </c>
      <c r="C203">
        <v>0.53110000000000002</v>
      </c>
      <c r="D203">
        <v>420283.82</v>
      </c>
      <c r="E203">
        <f t="shared" si="9"/>
        <v>5535.6758726896005</v>
      </c>
      <c r="F203">
        <v>5535.68</v>
      </c>
      <c r="G203">
        <f t="shared" si="10"/>
        <v>4.1273103997809812E-3</v>
      </c>
      <c r="H203">
        <f t="shared" si="11"/>
        <v>7.4558327066972459E-7</v>
      </c>
    </row>
    <row r="204" spans="1:8">
      <c r="A204" t="s">
        <v>209</v>
      </c>
      <c r="B204">
        <v>2.0299999999999999E-2</v>
      </c>
      <c r="C204">
        <v>0.43859999999999999</v>
      </c>
      <c r="D204">
        <v>1019620.05</v>
      </c>
      <c r="E204">
        <f t="shared" si="9"/>
        <v>9078.2686847789992</v>
      </c>
      <c r="F204">
        <v>9078.27</v>
      </c>
      <c r="G204">
        <f t="shared" si="10"/>
        <v>1.3152210012776777E-3</v>
      </c>
      <c r="H204">
        <f t="shared" si="11"/>
        <v>1.4487573086917196E-7</v>
      </c>
    </row>
    <row r="205" spans="1:8">
      <c r="A205" t="s">
        <v>210</v>
      </c>
      <c r="B205">
        <v>1.6199999999999999E-2</v>
      </c>
      <c r="C205">
        <v>0.57410000000000005</v>
      </c>
      <c r="D205">
        <v>595398.35</v>
      </c>
      <c r="E205">
        <f t="shared" si="9"/>
        <v>5537.4547223070003</v>
      </c>
      <c r="F205">
        <v>5537.45</v>
      </c>
      <c r="G205">
        <f t="shared" si="10"/>
        <v>-4.7223070005202317E-3</v>
      </c>
      <c r="H205">
        <f t="shared" si="11"/>
        <v>-8.5279451742593288E-7</v>
      </c>
    </row>
    <row r="206" spans="1:8">
      <c r="A206" t="s">
        <v>211</v>
      </c>
      <c r="B206">
        <v>1.9699999999999999E-2</v>
      </c>
      <c r="C206">
        <v>0.35649999999999998</v>
      </c>
      <c r="D206">
        <v>635852.24</v>
      </c>
      <c r="E206">
        <f t="shared" si="9"/>
        <v>4465.6220741319994</v>
      </c>
      <c r="F206">
        <v>4465.62</v>
      </c>
      <c r="G206">
        <f t="shared" si="10"/>
        <v>-2.0741319995067897E-3</v>
      </c>
      <c r="H206">
        <f t="shared" si="11"/>
        <v>-4.6446674806785839E-7</v>
      </c>
    </row>
    <row r="207" spans="1:8">
      <c r="A207" t="s">
        <v>212</v>
      </c>
      <c r="B207">
        <v>2.2599999999999999E-2</v>
      </c>
      <c r="C207">
        <v>0.50849999999999995</v>
      </c>
      <c r="D207">
        <v>905004.66</v>
      </c>
      <c r="E207">
        <f t="shared" si="9"/>
        <v>10400.404053185999</v>
      </c>
      <c r="F207">
        <v>10400.4</v>
      </c>
      <c r="G207">
        <f t="shared" si="10"/>
        <v>-4.0531859995098785E-3</v>
      </c>
      <c r="H207">
        <f t="shared" si="11"/>
        <v>-3.8971443401310323E-7</v>
      </c>
    </row>
    <row r="208" spans="1:8">
      <c r="A208" t="s">
        <v>213</v>
      </c>
      <c r="B208">
        <v>1.7399999999999999E-2</v>
      </c>
      <c r="C208">
        <v>0.57479999999999998</v>
      </c>
      <c r="D208">
        <v>379528.39</v>
      </c>
      <c r="E208">
        <f t="shared" si="9"/>
        <v>3795.8607831527993</v>
      </c>
      <c r="F208">
        <v>3795.86</v>
      </c>
      <c r="G208">
        <f t="shared" si="10"/>
        <v>-7.8315279915841529E-4</v>
      </c>
      <c r="H208">
        <f t="shared" si="11"/>
        <v>-2.0631761950082861E-7</v>
      </c>
    </row>
    <row r="209" spans="1:8">
      <c r="A209" t="s">
        <v>214</v>
      </c>
      <c r="B209">
        <v>2.4199999999999999E-2</v>
      </c>
      <c r="C209">
        <v>0.61209999999999998</v>
      </c>
      <c r="D209">
        <v>662385.06000000006</v>
      </c>
      <c r="E209">
        <f t="shared" si="9"/>
        <v>9811.7906644692011</v>
      </c>
      <c r="F209">
        <v>9811.7900000000009</v>
      </c>
      <c r="G209">
        <f t="shared" si="10"/>
        <v>-6.644692002737429E-4</v>
      </c>
      <c r="H209">
        <f t="shared" si="11"/>
        <v>-6.7721506501234007E-8</v>
      </c>
    </row>
    <row r="210" spans="1:8">
      <c r="A210" t="s">
        <v>215</v>
      </c>
      <c r="B210">
        <v>1.8100000000000002E-2</v>
      </c>
      <c r="C210">
        <v>0.50149999999999995</v>
      </c>
      <c r="D210">
        <v>475928.99</v>
      </c>
      <c r="E210">
        <f t="shared" si="9"/>
        <v>4320.0788315784994</v>
      </c>
      <c r="F210">
        <v>4320.08</v>
      </c>
      <c r="G210">
        <f t="shared" si="10"/>
        <v>1.1684215005516307E-3</v>
      </c>
      <c r="H210">
        <f t="shared" si="11"/>
        <v>2.7046293136970399E-7</v>
      </c>
    </row>
    <row r="211" spans="1:8">
      <c r="A211" t="s">
        <v>216</v>
      </c>
      <c r="B211">
        <v>1.9E-2</v>
      </c>
      <c r="C211">
        <v>0.61570000000000003</v>
      </c>
      <c r="D211">
        <v>1787225.09</v>
      </c>
      <c r="E211">
        <f t="shared" si="9"/>
        <v>20907.495270347001</v>
      </c>
      <c r="F211">
        <v>20907.5</v>
      </c>
      <c r="G211">
        <f t="shared" si="10"/>
        <v>4.7296529992308933E-3</v>
      </c>
      <c r="H211">
        <f t="shared" si="11"/>
        <v>2.2621800785511866E-7</v>
      </c>
    </row>
    <row r="212" spans="1:8">
      <c r="A212" t="s">
        <v>217</v>
      </c>
      <c r="B212">
        <v>2.0299999999999999E-2</v>
      </c>
      <c r="C212">
        <v>0.57709999999999995</v>
      </c>
      <c r="D212">
        <v>1577393.84</v>
      </c>
      <c r="E212">
        <f t="shared" si="9"/>
        <v>18479.373896799199</v>
      </c>
      <c r="F212">
        <v>18479.37</v>
      </c>
      <c r="G212">
        <f t="shared" si="10"/>
        <v>-3.8967992004472762E-3</v>
      </c>
      <c r="H212">
        <f t="shared" si="11"/>
        <v>-2.1087294645040802E-7</v>
      </c>
    </row>
    <row r="213" spans="1:8">
      <c r="A213" t="s">
        <v>218</v>
      </c>
      <c r="B213">
        <v>1.5299999999999999E-2</v>
      </c>
      <c r="C213">
        <v>0.50490000000000002</v>
      </c>
      <c r="D213">
        <v>806039.19</v>
      </c>
      <c r="E213">
        <f t="shared" si="9"/>
        <v>6226.6285615743</v>
      </c>
      <c r="F213">
        <v>6226.63</v>
      </c>
      <c r="G213">
        <f t="shared" si="10"/>
        <v>1.4384257001438527E-3</v>
      </c>
      <c r="H213">
        <f t="shared" si="11"/>
        <v>2.3101191176348244E-7</v>
      </c>
    </row>
    <row r="214" spans="1:8">
      <c r="A214" t="s">
        <v>219</v>
      </c>
      <c r="B214">
        <v>1.9699999999999999E-2</v>
      </c>
      <c r="C214">
        <v>0.57389999999999997</v>
      </c>
      <c r="D214">
        <v>373035.83</v>
      </c>
      <c r="E214">
        <f t="shared" si="9"/>
        <v>4217.4796778889004</v>
      </c>
      <c r="F214">
        <v>4217.4799999999996</v>
      </c>
      <c r="G214">
        <f t="shared" si="10"/>
        <v>3.2211109919444425E-4</v>
      </c>
      <c r="H214">
        <f t="shared" si="11"/>
        <v>7.6375252329458423E-8</v>
      </c>
    </row>
    <row r="215" spans="1:8">
      <c r="A215" t="s">
        <v>220</v>
      </c>
      <c r="B215">
        <v>2.4799999999999999E-2</v>
      </c>
      <c r="C215">
        <v>0.58440000000000003</v>
      </c>
      <c r="D215">
        <v>147377</v>
      </c>
      <c r="E215">
        <f t="shared" si="9"/>
        <v>2135.9525462400002</v>
      </c>
      <c r="F215">
        <v>2135.9499999999998</v>
      </c>
      <c r="G215">
        <f t="shared" si="10"/>
        <v>-2.5462400003561925E-3</v>
      </c>
      <c r="H215">
        <f t="shared" si="11"/>
        <v>-1.192087829938057E-6</v>
      </c>
    </row>
    <row r="216" spans="1:8">
      <c r="A216" t="s">
        <v>221</v>
      </c>
      <c r="B216">
        <v>1.6299999999999999E-2</v>
      </c>
      <c r="C216">
        <v>0.53559999999999997</v>
      </c>
      <c r="D216">
        <v>809963.32</v>
      </c>
      <c r="E216">
        <f t="shared" si="9"/>
        <v>7071.2065733295985</v>
      </c>
      <c r="F216">
        <v>7071.21</v>
      </c>
      <c r="G216">
        <f t="shared" si="10"/>
        <v>3.4266704014953575E-3</v>
      </c>
      <c r="H216">
        <f t="shared" si="11"/>
        <v>4.8459463111622445E-7</v>
      </c>
    </row>
    <row r="217" spans="1:8">
      <c r="A217" t="s">
        <v>222</v>
      </c>
      <c r="B217">
        <v>1.7399999999999999E-2</v>
      </c>
      <c r="C217">
        <v>0.40479999999999999</v>
      </c>
      <c r="D217">
        <v>1189686.7</v>
      </c>
      <c r="E217">
        <f t="shared" si="9"/>
        <v>8379.5820651839986</v>
      </c>
      <c r="F217">
        <v>8379.58</v>
      </c>
      <c r="G217">
        <f t="shared" si="10"/>
        <v>-2.0651839986385312E-3</v>
      </c>
      <c r="H217">
        <f t="shared" si="11"/>
        <v>-2.4645435673846795E-7</v>
      </c>
    </row>
    <row r="218" spans="1:8">
      <c r="A218" t="s">
        <v>223</v>
      </c>
      <c r="B218">
        <v>0.87760000000000005</v>
      </c>
      <c r="C218">
        <v>0.52590000000000003</v>
      </c>
      <c r="D218">
        <v>829862.52</v>
      </c>
      <c r="E218">
        <f t="shared" si="9"/>
        <v>383006.31607759686</v>
      </c>
      <c r="F218">
        <v>383006.32</v>
      </c>
      <c r="G218">
        <f t="shared" si="10"/>
        <v>3.9224031497724354E-3</v>
      </c>
      <c r="H218">
        <f t="shared" si="11"/>
        <v>1.0241092496260729E-8</v>
      </c>
    </row>
    <row r="219" spans="1:8">
      <c r="A219" t="s">
        <v>224</v>
      </c>
      <c r="B219">
        <v>1.4500000000000001E-2</v>
      </c>
      <c r="C219">
        <v>0.57179999999999997</v>
      </c>
      <c r="D219">
        <v>985520.92</v>
      </c>
      <c r="E219">
        <f t="shared" si="9"/>
        <v>8171.0524998120009</v>
      </c>
      <c r="F219">
        <v>8171.05</v>
      </c>
      <c r="G219">
        <f t="shared" si="10"/>
        <v>-2.499812000678503E-3</v>
      </c>
      <c r="H219">
        <f t="shared" si="11"/>
        <v>-3.0593522260645852E-7</v>
      </c>
    </row>
    <row r="220" spans="1:8">
      <c r="A220" t="s">
        <v>225</v>
      </c>
      <c r="B220">
        <v>2.3099999999999999E-2</v>
      </c>
      <c r="C220">
        <v>0.51139999999999997</v>
      </c>
      <c r="D220">
        <v>2275235.13</v>
      </c>
      <c r="E220">
        <f t="shared" si="9"/>
        <v>26878.126170634194</v>
      </c>
      <c r="F220">
        <v>26878.13</v>
      </c>
      <c r="G220">
        <f t="shared" si="10"/>
        <v>3.8293658071779646E-3</v>
      </c>
      <c r="H220">
        <f t="shared" si="11"/>
        <v>1.4247143708204271E-7</v>
      </c>
    </row>
    <row r="221" spans="1:8">
      <c r="A221" t="s">
        <v>226</v>
      </c>
      <c r="B221">
        <v>1.41E-2</v>
      </c>
      <c r="C221">
        <v>0.64529999999999998</v>
      </c>
      <c r="D221">
        <v>601823.91</v>
      </c>
      <c r="E221">
        <f t="shared" si="9"/>
        <v>5475.8332646342997</v>
      </c>
      <c r="F221">
        <v>5475.83</v>
      </c>
      <c r="G221">
        <f t="shared" si="10"/>
        <v>-3.264634299739555E-3</v>
      </c>
      <c r="H221">
        <f t="shared" si="11"/>
        <v>-5.9618985610209865E-7</v>
      </c>
    </row>
    <row r="222" spans="1:8">
      <c r="A222" t="s">
        <v>227</v>
      </c>
      <c r="B222">
        <v>1.46E-2</v>
      </c>
      <c r="C222">
        <v>0.62549999999999994</v>
      </c>
      <c r="D222">
        <v>254393.18</v>
      </c>
      <c r="E222">
        <f t="shared" si="9"/>
        <v>2323.1948377139997</v>
      </c>
      <c r="F222">
        <v>2323.19</v>
      </c>
      <c r="G222">
        <f t="shared" si="10"/>
        <v>-4.8377139996773622E-3</v>
      </c>
      <c r="H222">
        <f t="shared" si="11"/>
        <v>-2.0823583089103183E-6</v>
      </c>
    </row>
    <row r="223" spans="1:8">
      <c r="A223" t="s">
        <v>228</v>
      </c>
      <c r="B223">
        <v>2.0899999999999998E-2</v>
      </c>
      <c r="C223">
        <v>0.37569999999999998</v>
      </c>
      <c r="D223">
        <v>94884.93</v>
      </c>
      <c r="E223">
        <f t="shared" si="9"/>
        <v>745.04880540089982</v>
      </c>
      <c r="F223">
        <v>745.05</v>
      </c>
      <c r="G223">
        <f t="shared" si="10"/>
        <v>1.1945991001311995E-3</v>
      </c>
      <c r="H223">
        <f t="shared" si="11"/>
        <v>1.6033811155374801E-6</v>
      </c>
    </row>
    <row r="224" spans="1:8">
      <c r="A224" t="s">
        <v>229</v>
      </c>
      <c r="B224">
        <v>1.9400000000000001E-2</v>
      </c>
      <c r="C224">
        <v>0.44850000000000001</v>
      </c>
      <c r="D224">
        <v>687529.7</v>
      </c>
      <c r="E224">
        <f t="shared" si="9"/>
        <v>5982.1271667300007</v>
      </c>
      <c r="F224">
        <v>5982.13</v>
      </c>
      <c r="G224">
        <f t="shared" si="10"/>
        <v>2.8332699994280119E-3</v>
      </c>
      <c r="H224">
        <f t="shared" si="11"/>
        <v>4.7362227157016176E-7</v>
      </c>
    </row>
    <row r="225" spans="1:8">
      <c r="A225" t="s">
        <v>230</v>
      </c>
      <c r="B225">
        <v>8.8099999999999998E-2</v>
      </c>
      <c r="C225">
        <v>0.50209999999999999</v>
      </c>
      <c r="D225">
        <v>450738.25</v>
      </c>
      <c r="E225">
        <f t="shared" si="9"/>
        <v>19938.410996132498</v>
      </c>
      <c r="F225">
        <v>19938.41</v>
      </c>
      <c r="G225">
        <f t="shared" si="10"/>
        <v>-9.9613249767571688E-4</v>
      </c>
      <c r="H225">
        <f t="shared" si="11"/>
        <v>-4.9960478176329852E-8</v>
      </c>
    </row>
    <row r="226" spans="1:8">
      <c r="A226" t="s">
        <v>231</v>
      </c>
      <c r="B226">
        <v>1.6500000000000001E-2</v>
      </c>
      <c r="C226">
        <v>0.40529999999999999</v>
      </c>
      <c r="D226">
        <v>1274891.46</v>
      </c>
      <c r="E226">
        <f t="shared" si="9"/>
        <v>8525.7728941770001</v>
      </c>
      <c r="F226">
        <v>8525.77</v>
      </c>
      <c r="G226">
        <f t="shared" si="10"/>
        <v>-2.8941769996890798E-3</v>
      </c>
      <c r="H226">
        <f t="shared" si="11"/>
        <v>-3.3946224208359826E-7</v>
      </c>
    </row>
    <row r="227" spans="1:8">
      <c r="A227" t="s">
        <v>232</v>
      </c>
      <c r="B227">
        <v>2.53E-2</v>
      </c>
      <c r="C227">
        <v>0.6431</v>
      </c>
      <c r="D227">
        <v>202155.93</v>
      </c>
      <c r="E227">
        <f t="shared" si="9"/>
        <v>3289.1639081498997</v>
      </c>
      <c r="F227">
        <v>3289.16</v>
      </c>
      <c r="G227">
        <f t="shared" si="10"/>
        <v>-3.908149899871205E-3</v>
      </c>
      <c r="H227">
        <f t="shared" si="11"/>
        <v>-1.1881908754427286E-6</v>
      </c>
    </row>
    <row r="228" spans="1:8">
      <c r="A228" t="s">
        <v>233</v>
      </c>
      <c r="B228">
        <v>1.6E-2</v>
      </c>
      <c r="C228">
        <v>0.46639999999999998</v>
      </c>
      <c r="D228">
        <v>301990.69</v>
      </c>
      <c r="E228">
        <f t="shared" si="9"/>
        <v>2253.5753250560001</v>
      </c>
      <c r="F228">
        <v>2253.58</v>
      </c>
      <c r="G228">
        <f t="shared" si="10"/>
        <v>4.6749439998166054E-3</v>
      </c>
      <c r="H228">
        <f t="shared" si="11"/>
        <v>2.0744522048547668E-6</v>
      </c>
    </row>
    <row r="229" spans="1:8">
      <c r="A229" t="s">
        <v>234</v>
      </c>
      <c r="B229">
        <v>0.1147</v>
      </c>
      <c r="C229">
        <v>0.49030000000000001</v>
      </c>
      <c r="D229">
        <v>944983.16</v>
      </c>
      <c r="E229">
        <f t="shared" si="9"/>
        <v>53143.4054120156</v>
      </c>
      <c r="F229">
        <v>53143.41</v>
      </c>
      <c r="G229">
        <f t="shared" si="10"/>
        <v>4.5879844037699513E-3</v>
      </c>
      <c r="H229">
        <f t="shared" si="11"/>
        <v>8.633214172312148E-8</v>
      </c>
    </row>
    <row r="230" spans="1:8">
      <c r="A230" t="s">
        <v>235</v>
      </c>
      <c r="B230">
        <v>1.41E-2</v>
      </c>
      <c r="C230">
        <v>0.43980000000000002</v>
      </c>
      <c r="D230">
        <v>2448707.77</v>
      </c>
      <c r="E230">
        <f t="shared" si="9"/>
        <v>15184.877649168602</v>
      </c>
      <c r="F230">
        <v>15184.88</v>
      </c>
      <c r="G230">
        <f t="shared" si="10"/>
        <v>2.3508313970523886E-3</v>
      </c>
      <c r="H230">
        <f t="shared" si="11"/>
        <v>1.5481395948156249E-7</v>
      </c>
    </row>
    <row r="231" spans="1:8">
      <c r="A231" t="s">
        <v>236</v>
      </c>
      <c r="B231">
        <v>2.3699999999999999E-2</v>
      </c>
      <c r="C231">
        <v>0.60029999999999994</v>
      </c>
      <c r="D231">
        <v>879274.71</v>
      </c>
      <c r="E231">
        <f t="shared" si="9"/>
        <v>12509.538019388097</v>
      </c>
      <c r="F231">
        <v>12509.54</v>
      </c>
      <c r="G231">
        <f t="shared" si="10"/>
        <v>1.9806119034910807E-3</v>
      </c>
      <c r="H231">
        <f t="shared" si="11"/>
        <v>1.5832811626095609E-7</v>
      </c>
    </row>
    <row r="232" spans="1:8">
      <c r="A232" t="s">
        <v>237</v>
      </c>
      <c r="B232">
        <v>1.44E-2</v>
      </c>
      <c r="C232">
        <v>0.55669999999999997</v>
      </c>
      <c r="D232">
        <v>1757717.84</v>
      </c>
      <c r="E232">
        <f t="shared" si="9"/>
        <v>14090.709910003199</v>
      </c>
      <c r="F232">
        <v>14090.71</v>
      </c>
      <c r="G232">
        <f t="shared" si="10"/>
        <v>8.9996799943037331E-5</v>
      </c>
      <c r="H232">
        <f t="shared" si="11"/>
        <v>6.3869599149395122E-9</v>
      </c>
    </row>
    <row r="233" spans="1:8">
      <c r="A233" t="s">
        <v>238</v>
      </c>
      <c r="B233">
        <v>1.7299999999999999E-2</v>
      </c>
      <c r="C233">
        <v>0.35220000000000001</v>
      </c>
      <c r="D233">
        <v>195870.83</v>
      </c>
      <c r="E233">
        <f t="shared" si="9"/>
        <v>1193.4527194397999</v>
      </c>
      <c r="F233">
        <v>1193.45</v>
      </c>
      <c r="G233">
        <f t="shared" si="10"/>
        <v>-2.7194397998755448E-3</v>
      </c>
      <c r="H233">
        <f t="shared" si="11"/>
        <v>-2.2786373956810461E-6</v>
      </c>
    </row>
    <row r="234" spans="1:8">
      <c r="A234" t="s">
        <v>239</v>
      </c>
      <c r="B234">
        <v>0.14940000000000001</v>
      </c>
      <c r="C234">
        <v>0.47339999999999999</v>
      </c>
      <c r="D234">
        <v>1458122.75</v>
      </c>
      <c r="E234">
        <f t="shared" si="9"/>
        <v>103127.13129159001</v>
      </c>
      <c r="F234">
        <v>103127.13</v>
      </c>
      <c r="G234">
        <f t="shared" si="10"/>
        <v>-1.2915900006191805E-3</v>
      </c>
      <c r="H234">
        <f t="shared" si="11"/>
        <v>-1.2524250414213801E-8</v>
      </c>
    </row>
    <row r="235" spans="1:8">
      <c r="A235" t="s">
        <v>240</v>
      </c>
      <c r="B235">
        <v>1.9599999999999999E-2</v>
      </c>
      <c r="C235">
        <v>0.43369999999999997</v>
      </c>
      <c r="D235">
        <v>386652.94</v>
      </c>
      <c r="E235">
        <f t="shared" si="9"/>
        <v>3286.7510495287997</v>
      </c>
      <c r="F235">
        <v>3286.75</v>
      </c>
      <c r="G235">
        <f t="shared" si="10"/>
        <v>-1.0495287997400737E-3</v>
      </c>
      <c r="H235">
        <f t="shared" si="11"/>
        <v>-3.1932115303569596E-7</v>
      </c>
    </row>
    <row r="236" spans="1:8">
      <c r="A236" t="s">
        <v>241</v>
      </c>
      <c r="B236">
        <v>2.4899999999999999E-2</v>
      </c>
      <c r="C236">
        <v>0.41</v>
      </c>
      <c r="D236">
        <v>265762.36</v>
      </c>
      <c r="E236">
        <f t="shared" si="9"/>
        <v>2713.1679332399995</v>
      </c>
      <c r="F236">
        <v>2713.17</v>
      </c>
      <c r="G236">
        <f t="shared" si="10"/>
        <v>2.0667600006163411E-3</v>
      </c>
      <c r="H236">
        <f t="shared" si="11"/>
        <v>7.6175101472312497E-7</v>
      </c>
    </row>
    <row r="237" spans="1:8">
      <c r="A237" t="s">
        <v>242</v>
      </c>
      <c r="B237">
        <v>2.1899999999999999E-2</v>
      </c>
      <c r="C237">
        <v>0.4335</v>
      </c>
      <c r="D237">
        <v>648027.17000000004</v>
      </c>
      <c r="E237">
        <f t="shared" si="9"/>
        <v>6152.1431424704997</v>
      </c>
      <c r="F237">
        <v>6152.14</v>
      </c>
      <c r="G237">
        <f t="shared" si="10"/>
        <v>-3.142470499369665E-3</v>
      </c>
      <c r="H237">
        <f t="shared" si="11"/>
        <v>-5.1079307352720592E-7</v>
      </c>
    </row>
    <row r="238" spans="1:8">
      <c r="A238" t="s">
        <v>243</v>
      </c>
      <c r="B238">
        <v>1.6799999999999999E-2</v>
      </c>
      <c r="C238">
        <v>0.53490000000000004</v>
      </c>
      <c r="D238">
        <v>855896.51</v>
      </c>
      <c r="E238">
        <f t="shared" si="9"/>
        <v>7691.3599257432006</v>
      </c>
      <c r="F238">
        <v>7691.36</v>
      </c>
      <c r="G238">
        <f t="shared" si="10"/>
        <v>7.4256799052818678E-5</v>
      </c>
      <c r="H238">
        <f t="shared" si="11"/>
        <v>9.6545733202994894E-9</v>
      </c>
    </row>
    <row r="239" spans="1:8">
      <c r="A239" t="s">
        <v>244</v>
      </c>
      <c r="B239">
        <v>2.3599999999999999E-2</v>
      </c>
      <c r="C239">
        <v>0.55889999999999995</v>
      </c>
      <c r="D239">
        <v>617361.56000000006</v>
      </c>
      <c r="E239">
        <f t="shared" si="9"/>
        <v>8143.0236708623997</v>
      </c>
      <c r="F239">
        <v>8143.02</v>
      </c>
      <c r="G239">
        <f t="shared" si="10"/>
        <v>-3.6708623993035872E-3</v>
      </c>
      <c r="H239">
        <f t="shared" si="11"/>
        <v>-4.5079864709942833E-7</v>
      </c>
    </row>
    <row r="240" spans="1:8">
      <c r="A240" t="s">
        <v>245</v>
      </c>
      <c r="B240">
        <v>1.8499999999999999E-2</v>
      </c>
      <c r="C240">
        <v>0.49120000000000003</v>
      </c>
      <c r="D240">
        <v>250260.47</v>
      </c>
      <c r="E240">
        <f t="shared" si="9"/>
        <v>2274.1669429839999</v>
      </c>
      <c r="F240">
        <v>2274.17</v>
      </c>
      <c r="G240">
        <f t="shared" si="10"/>
        <v>3.057016000184376E-3</v>
      </c>
      <c r="H240">
        <f t="shared" si="11"/>
        <v>1.3442337205153424E-6</v>
      </c>
    </row>
    <row r="241" spans="1:8">
      <c r="A241" t="s">
        <v>246</v>
      </c>
      <c r="B241">
        <v>1.89E-2</v>
      </c>
      <c r="C241">
        <v>0.47470000000000001</v>
      </c>
      <c r="D241">
        <v>907137.95</v>
      </c>
      <c r="E241">
        <f t="shared" si="9"/>
        <v>8138.6874739484992</v>
      </c>
      <c r="F241">
        <v>8138.69</v>
      </c>
      <c r="G241">
        <f t="shared" si="10"/>
        <v>2.5260515003537876E-3</v>
      </c>
      <c r="H241">
        <f t="shared" si="11"/>
        <v>3.1037568703978008E-7</v>
      </c>
    </row>
    <row r="242" spans="1:8">
      <c r="A242" t="s">
        <v>247</v>
      </c>
      <c r="B242">
        <v>1.7100000000000001E-2</v>
      </c>
      <c r="C242">
        <v>0.48659999999999998</v>
      </c>
      <c r="D242">
        <v>194762.65</v>
      </c>
      <c r="E242">
        <f t="shared" si="9"/>
        <v>1620.5927438789997</v>
      </c>
      <c r="F242">
        <v>1620.59</v>
      </c>
      <c r="G242">
        <f t="shared" si="10"/>
        <v>-2.7438789998086577E-3</v>
      </c>
      <c r="H242">
        <f t="shared" si="11"/>
        <v>-1.6931358331278471E-6</v>
      </c>
    </row>
    <row r="243" spans="1:8">
      <c r="A243" t="s">
        <v>248</v>
      </c>
      <c r="B243">
        <v>2.24E-2</v>
      </c>
      <c r="C243">
        <v>0.35189999999999999</v>
      </c>
      <c r="D243">
        <v>234769.64</v>
      </c>
      <c r="E243">
        <f t="shared" si="9"/>
        <v>1850.5857734784001</v>
      </c>
      <c r="F243">
        <v>1850.59</v>
      </c>
      <c r="G243">
        <f t="shared" si="10"/>
        <v>4.2265215997758787E-3</v>
      </c>
      <c r="H243">
        <f t="shared" si="11"/>
        <v>2.2838778982788618E-6</v>
      </c>
    </row>
    <row r="244" spans="1:8">
      <c r="A244" t="s">
        <v>249</v>
      </c>
      <c r="B244">
        <v>1.4800000000000001E-2</v>
      </c>
      <c r="C244">
        <v>0.3589</v>
      </c>
      <c r="D244">
        <v>334434.12</v>
      </c>
      <c r="E244">
        <f t="shared" si="9"/>
        <v>1776.4204038864</v>
      </c>
      <c r="F244">
        <v>1776.42</v>
      </c>
      <c r="G244">
        <f t="shared" si="10"/>
        <v>-4.0388639990851516E-4</v>
      </c>
      <c r="H244">
        <f t="shared" si="11"/>
        <v>-2.2735974595451253E-7</v>
      </c>
    </row>
    <row r="245" spans="1:8">
      <c r="A245" t="s">
        <v>250</v>
      </c>
      <c r="B245">
        <v>2.2700000000000001E-2</v>
      </c>
      <c r="C245">
        <v>0.61639999999999995</v>
      </c>
      <c r="D245">
        <v>147593.20000000001</v>
      </c>
      <c r="E245">
        <f t="shared" si="9"/>
        <v>2065.1653804960001</v>
      </c>
      <c r="F245">
        <v>2065.17</v>
      </c>
      <c r="G245">
        <f t="shared" si="10"/>
        <v>4.619503999947483E-3</v>
      </c>
      <c r="H245">
        <f t="shared" si="11"/>
        <v>2.236863793270037E-6</v>
      </c>
    </row>
    <row r="246" spans="1:8">
      <c r="A246" t="s">
        <v>251</v>
      </c>
      <c r="B246">
        <v>2.2499999999999999E-2</v>
      </c>
      <c r="C246">
        <v>0.61099999999999999</v>
      </c>
      <c r="D246">
        <v>462210.51</v>
      </c>
      <c r="E246">
        <f t="shared" si="9"/>
        <v>6354.2389862250002</v>
      </c>
      <c r="F246">
        <v>6354.24</v>
      </c>
      <c r="G246">
        <f t="shared" si="10"/>
        <v>1.0137749995919876E-3</v>
      </c>
      <c r="H246">
        <f t="shared" si="11"/>
        <v>1.5954307668454254E-7</v>
      </c>
    </row>
    <row r="247" spans="1:8">
      <c r="A247" t="s">
        <v>252</v>
      </c>
      <c r="B247">
        <v>1.5100000000000001E-2</v>
      </c>
      <c r="C247">
        <v>0.5575</v>
      </c>
      <c r="D247">
        <v>1774089.11</v>
      </c>
      <c r="E247">
        <f t="shared" si="9"/>
        <v>14934.725650257502</v>
      </c>
      <c r="F247">
        <v>14934.73</v>
      </c>
      <c r="G247">
        <f t="shared" si="10"/>
        <v>4.349742497652187E-3</v>
      </c>
      <c r="H247">
        <f t="shared" si="11"/>
        <v>2.9125015970507585E-7</v>
      </c>
    </row>
    <row r="248" spans="1:8">
      <c r="A248" t="s">
        <v>253</v>
      </c>
      <c r="B248">
        <v>2.0199999999999999E-2</v>
      </c>
      <c r="C248">
        <v>0.53049999999999997</v>
      </c>
      <c r="D248">
        <v>307104.15000000002</v>
      </c>
      <c r="E248">
        <f t="shared" si="9"/>
        <v>3290.9587818149998</v>
      </c>
      <c r="F248">
        <v>3290.96</v>
      </c>
      <c r="G248">
        <f t="shared" si="10"/>
        <v>1.218185000197991E-3</v>
      </c>
      <c r="H248">
        <f t="shared" si="11"/>
        <v>3.7016098652004006E-7</v>
      </c>
    </row>
    <row r="249" spans="1:8">
      <c r="A249" t="s">
        <v>254</v>
      </c>
      <c r="B249">
        <v>2.5100000000000001E-2</v>
      </c>
      <c r="C249">
        <v>0.58279999999999998</v>
      </c>
      <c r="D249">
        <v>971610.01</v>
      </c>
      <c r="E249">
        <f t="shared" si="9"/>
        <v>14212.9832770828</v>
      </c>
      <c r="F249">
        <v>14212.98</v>
      </c>
      <c r="G249">
        <f t="shared" si="10"/>
        <v>-3.2770828001957852E-3</v>
      </c>
      <c r="H249">
        <f t="shared" si="11"/>
        <v>-2.3056971867938921E-7</v>
      </c>
    </row>
    <row r="250" spans="1:8">
      <c r="A250" t="s">
        <v>255</v>
      </c>
      <c r="B250">
        <v>2.3699999999999999E-2</v>
      </c>
      <c r="C250">
        <v>0.40870000000000001</v>
      </c>
      <c r="D250">
        <v>2740101.34</v>
      </c>
      <c r="E250">
        <f t="shared" si="9"/>
        <v>26541.142198494596</v>
      </c>
      <c r="F250">
        <v>26541.14</v>
      </c>
      <c r="G250">
        <f t="shared" si="10"/>
        <v>-2.1984945960866753E-3</v>
      </c>
      <c r="H250">
        <f t="shared" si="11"/>
        <v>-8.2833465182229375E-8</v>
      </c>
    </row>
    <row r="251" spans="1:8">
      <c r="A251" t="s">
        <v>256</v>
      </c>
      <c r="B251">
        <v>1.7299999999999999E-2</v>
      </c>
      <c r="C251">
        <v>0.54600000000000004</v>
      </c>
      <c r="D251">
        <v>601561.84</v>
      </c>
      <c r="E251">
        <f t="shared" si="9"/>
        <v>5682.232828272</v>
      </c>
      <c r="F251">
        <v>5682.23</v>
      </c>
      <c r="G251">
        <f t="shared" si="10"/>
        <v>-2.8282720004426665E-3</v>
      </c>
      <c r="H251">
        <f t="shared" si="11"/>
        <v>-4.9773979589750272E-7</v>
      </c>
    </row>
    <row r="252" spans="1:8">
      <c r="A252" t="s">
        <v>257</v>
      </c>
      <c r="B252">
        <v>2.3E-2</v>
      </c>
      <c r="C252">
        <v>0.41220000000000001</v>
      </c>
      <c r="D252">
        <v>647342.78</v>
      </c>
      <c r="E252">
        <f t="shared" si="9"/>
        <v>6137.1979600680006</v>
      </c>
      <c r="F252">
        <v>6137.2</v>
      </c>
      <c r="G252">
        <f t="shared" si="10"/>
        <v>2.0399319992066012E-3</v>
      </c>
      <c r="H252">
        <f t="shared" si="11"/>
        <v>3.3238805957221557E-7</v>
      </c>
    </row>
    <row r="253" spans="1:8">
      <c r="A253" t="s">
        <v>258</v>
      </c>
      <c r="B253">
        <v>2.0299999999999999E-2</v>
      </c>
      <c r="C253">
        <v>0.64580000000000004</v>
      </c>
      <c r="D253">
        <v>116593.1</v>
      </c>
      <c r="E253">
        <f t="shared" si="9"/>
        <v>1528.505226794</v>
      </c>
      <c r="F253">
        <v>1528.51</v>
      </c>
      <c r="G253">
        <f t="shared" si="10"/>
        <v>4.7732059999816556E-3</v>
      </c>
      <c r="H253">
        <f t="shared" si="11"/>
        <v>3.1227836258720295E-6</v>
      </c>
    </row>
    <row r="254" spans="1:8">
      <c r="A254" t="s">
        <v>259</v>
      </c>
      <c r="B254">
        <v>2.5899999999999999E-2</v>
      </c>
      <c r="C254">
        <v>0.55900000000000005</v>
      </c>
      <c r="D254">
        <v>467288.11</v>
      </c>
      <c r="E254">
        <f t="shared" si="9"/>
        <v>6765.4439853909998</v>
      </c>
      <c r="F254">
        <v>6765.44</v>
      </c>
      <c r="G254">
        <f t="shared" si="10"/>
        <v>-3.9853910002420889E-3</v>
      </c>
      <c r="H254">
        <f t="shared" si="11"/>
        <v>-5.8908082848153105E-7</v>
      </c>
    </row>
    <row r="255" spans="1:8">
      <c r="A255" t="s">
        <v>260</v>
      </c>
      <c r="B255">
        <v>1.5100000000000001E-2</v>
      </c>
      <c r="C255">
        <v>0.45469999999999999</v>
      </c>
      <c r="D255">
        <v>76191.429999999993</v>
      </c>
      <c r="E255">
        <f t="shared" si="9"/>
        <v>523.12807263709999</v>
      </c>
      <c r="F255">
        <v>523.13</v>
      </c>
      <c r="G255">
        <f t="shared" si="10"/>
        <v>1.9273629000053916E-3</v>
      </c>
      <c r="H255">
        <f t="shared" si="11"/>
        <v>3.6842905205310185E-6</v>
      </c>
    </row>
    <row r="256" spans="1:8">
      <c r="A256" t="s">
        <v>261</v>
      </c>
      <c r="B256">
        <v>1.6199999999999999E-2</v>
      </c>
      <c r="C256">
        <v>0.64590000000000003</v>
      </c>
      <c r="D256">
        <v>835663.04</v>
      </c>
      <c r="E256">
        <f t="shared" si="9"/>
        <v>8744.0270720832013</v>
      </c>
      <c r="F256">
        <v>8744.0300000000007</v>
      </c>
      <c r="G256">
        <f t="shared" si="10"/>
        <v>2.9279167993081501E-3</v>
      </c>
      <c r="H256">
        <f t="shared" si="11"/>
        <v>3.3484752446047758E-7</v>
      </c>
    </row>
    <row r="257" spans="1:8">
      <c r="A257" t="s">
        <v>262</v>
      </c>
      <c r="B257">
        <v>2.2599999999999999E-2</v>
      </c>
      <c r="C257">
        <v>0.56079999999999997</v>
      </c>
      <c r="D257">
        <v>89115.09</v>
      </c>
      <c r="E257">
        <f t="shared" si="9"/>
        <v>1129.4517798671998</v>
      </c>
      <c r="F257">
        <v>1129.45</v>
      </c>
      <c r="G257">
        <f t="shared" si="10"/>
        <v>-1.7798671997297788E-3</v>
      </c>
      <c r="H257">
        <f t="shared" si="11"/>
        <v>-1.5758707333036245E-6</v>
      </c>
    </row>
    <row r="258" spans="1:8">
      <c r="A258" t="s">
        <v>263</v>
      </c>
      <c r="B258">
        <v>1.4E-2</v>
      </c>
      <c r="C258">
        <v>0.53939999999999999</v>
      </c>
      <c r="D258">
        <v>316153.52</v>
      </c>
      <c r="E258">
        <f t="shared" si="9"/>
        <v>2387.4649216320004</v>
      </c>
      <c r="F258">
        <v>2387.46</v>
      </c>
      <c r="G258">
        <f t="shared" si="10"/>
        <v>-4.9216320003324654E-3</v>
      </c>
      <c r="H258">
        <f t="shared" si="11"/>
        <v>-2.0614510820421978E-6</v>
      </c>
    </row>
    <row r="259" spans="1:8">
      <c r="A259" t="s">
        <v>264</v>
      </c>
      <c r="B259">
        <v>1.67E-2</v>
      </c>
      <c r="C259">
        <v>0.46860000000000002</v>
      </c>
      <c r="D259">
        <v>140070.25</v>
      </c>
      <c r="E259">
        <f t="shared" ref="E259:E322" si="12">B259*C259*D259</f>
        <v>1096.136549805</v>
      </c>
      <c r="F259">
        <v>1096.1400000000001</v>
      </c>
      <c r="G259">
        <f t="shared" ref="G259:G322" si="13">F259-E259</f>
        <v>3.4501950001413206E-3</v>
      </c>
      <c r="H259">
        <f t="shared" ref="H259:H322" si="14">IFERROR(G259/F259,0)</f>
        <v>3.1475860749003963E-6</v>
      </c>
    </row>
    <row r="260" spans="1:8">
      <c r="A260" t="s">
        <v>265</v>
      </c>
      <c r="B260">
        <v>0.66200000000000003</v>
      </c>
      <c r="C260">
        <v>0.63729999999999998</v>
      </c>
      <c r="D260">
        <v>484757.89</v>
      </c>
      <c r="E260">
        <f t="shared" si="12"/>
        <v>204515.76658261401</v>
      </c>
      <c r="F260">
        <v>204515.77</v>
      </c>
      <c r="G260">
        <f t="shared" si="13"/>
        <v>3.4173859748989344E-3</v>
      </c>
      <c r="H260">
        <f t="shared" si="14"/>
        <v>1.6709645299719109E-8</v>
      </c>
    </row>
    <row r="261" spans="1:8">
      <c r="A261" t="s">
        <v>266</v>
      </c>
      <c r="B261">
        <v>1.6299999999999999E-2</v>
      </c>
      <c r="C261">
        <v>0.60650000000000004</v>
      </c>
      <c r="D261">
        <v>550824.24</v>
      </c>
      <c r="E261">
        <f t="shared" si="12"/>
        <v>5445.4208954279993</v>
      </c>
      <c r="F261">
        <v>5445.42</v>
      </c>
      <c r="G261">
        <f t="shared" si="13"/>
        <v>-8.9542799923947314E-4</v>
      </c>
      <c r="H261">
        <f t="shared" si="14"/>
        <v>-1.6443690279895273E-7</v>
      </c>
    </row>
    <row r="262" spans="1:8">
      <c r="A262" t="s">
        <v>267</v>
      </c>
      <c r="B262">
        <v>1.9199999999999998E-2</v>
      </c>
      <c r="C262">
        <v>0.42570000000000002</v>
      </c>
      <c r="D262">
        <v>594472.74</v>
      </c>
      <c r="E262">
        <f t="shared" si="12"/>
        <v>4858.8872720256004</v>
      </c>
      <c r="F262">
        <v>4858.8900000000003</v>
      </c>
      <c r="G262">
        <f t="shared" si="13"/>
        <v>2.7279743999315542E-3</v>
      </c>
      <c r="H262">
        <f t="shared" si="14"/>
        <v>5.6143983500996197E-7</v>
      </c>
    </row>
    <row r="263" spans="1:8">
      <c r="A263" t="s">
        <v>268</v>
      </c>
      <c r="B263">
        <v>1.7600000000000001E-2</v>
      </c>
      <c r="C263">
        <v>0.49230000000000002</v>
      </c>
      <c r="D263">
        <v>1310564.25</v>
      </c>
      <c r="E263">
        <f t="shared" si="12"/>
        <v>11355.357732840001</v>
      </c>
      <c r="F263">
        <v>11355.36</v>
      </c>
      <c r="G263">
        <f t="shared" si="13"/>
        <v>2.2671599999739556E-3</v>
      </c>
      <c r="H263">
        <f t="shared" si="14"/>
        <v>1.9965549308643279E-7</v>
      </c>
    </row>
    <row r="264" spans="1:8">
      <c r="A264" t="s">
        <v>269</v>
      </c>
      <c r="B264">
        <v>0.7994</v>
      </c>
      <c r="C264">
        <v>0.43140000000000001</v>
      </c>
      <c r="D264">
        <v>655802.31000000006</v>
      </c>
      <c r="E264">
        <f t="shared" si="12"/>
        <v>226160.74535727961</v>
      </c>
      <c r="F264">
        <v>226160.75</v>
      </c>
      <c r="G264">
        <f t="shared" si="13"/>
        <v>4.6427203924395144E-3</v>
      </c>
      <c r="H264">
        <f t="shared" si="14"/>
        <v>2.0528409073809291E-8</v>
      </c>
    </row>
    <row r="265" spans="1:8">
      <c r="A265" t="s">
        <v>270</v>
      </c>
      <c r="B265">
        <v>1.7899999999999999E-2</v>
      </c>
      <c r="C265">
        <v>0.63390000000000002</v>
      </c>
      <c r="D265">
        <v>1742883.15</v>
      </c>
      <c r="E265">
        <f t="shared" si="12"/>
        <v>19776.163955251501</v>
      </c>
      <c r="F265">
        <v>19776.16</v>
      </c>
      <c r="G265">
        <f t="shared" si="13"/>
        <v>-3.9552515008836053E-3</v>
      </c>
      <c r="H265">
        <f t="shared" si="14"/>
        <v>-2.0000098608039202E-7</v>
      </c>
    </row>
    <row r="266" spans="1:8">
      <c r="A266" t="s">
        <v>271</v>
      </c>
      <c r="B266">
        <v>1.84E-2</v>
      </c>
      <c r="C266">
        <v>0.62070000000000003</v>
      </c>
      <c r="D266">
        <v>576896.11</v>
      </c>
      <c r="E266">
        <f t="shared" si="12"/>
        <v>6588.6612447767993</v>
      </c>
      <c r="F266">
        <v>6588.66</v>
      </c>
      <c r="G266">
        <f t="shared" si="13"/>
        <v>-1.2447767994672176E-3</v>
      </c>
      <c r="H266">
        <f t="shared" si="14"/>
        <v>-1.8892715657921605E-7</v>
      </c>
    </row>
    <row r="267" spans="1:8">
      <c r="A267" t="s">
        <v>272</v>
      </c>
      <c r="B267">
        <v>1.5699999999999999E-2</v>
      </c>
      <c r="C267">
        <v>0.53820000000000001</v>
      </c>
      <c r="D267">
        <v>417545.19</v>
      </c>
      <c r="E267">
        <f t="shared" si="12"/>
        <v>3528.1482937505998</v>
      </c>
      <c r="F267">
        <v>3528.15</v>
      </c>
      <c r="G267">
        <f t="shared" si="13"/>
        <v>1.706249400285742E-3</v>
      </c>
      <c r="H267">
        <f t="shared" si="14"/>
        <v>4.836102207348729E-7</v>
      </c>
    </row>
    <row r="268" spans="1:8">
      <c r="A268" t="s">
        <v>273</v>
      </c>
      <c r="B268">
        <v>1.8200000000000001E-2</v>
      </c>
      <c r="C268">
        <v>0.43609999999999999</v>
      </c>
      <c r="D268">
        <v>479416.19</v>
      </c>
      <c r="E268">
        <f t="shared" si="12"/>
        <v>3805.1358883537996</v>
      </c>
      <c r="F268">
        <v>3805.14</v>
      </c>
      <c r="G268">
        <f t="shared" si="13"/>
        <v>4.1116462002719345E-3</v>
      </c>
      <c r="H268">
        <f t="shared" si="14"/>
        <v>1.0805505711411236E-6</v>
      </c>
    </row>
    <row r="269" spans="1:8">
      <c r="A269" t="s">
        <v>274</v>
      </c>
      <c r="B269">
        <v>2.1899999999999999E-2</v>
      </c>
      <c r="C269">
        <v>0.62990000000000002</v>
      </c>
      <c r="D269">
        <v>0</v>
      </c>
      <c r="E269">
        <f t="shared" si="12"/>
        <v>0</v>
      </c>
      <c r="F269">
        <v>0</v>
      </c>
      <c r="G269">
        <f t="shared" si="13"/>
        <v>0</v>
      </c>
      <c r="H269">
        <f t="shared" si="14"/>
        <v>0</v>
      </c>
    </row>
    <row r="270" spans="1:8">
      <c r="A270" t="s">
        <v>275</v>
      </c>
      <c r="B270">
        <v>1.8599999999999998E-2</v>
      </c>
      <c r="C270">
        <v>0.51480000000000004</v>
      </c>
      <c r="D270">
        <v>927874.36</v>
      </c>
      <c r="E270">
        <f t="shared" si="12"/>
        <v>8884.6568018208</v>
      </c>
      <c r="F270">
        <v>8884.66</v>
      </c>
      <c r="G270">
        <f t="shared" si="13"/>
        <v>3.1981791998987319E-3</v>
      </c>
      <c r="H270">
        <f t="shared" si="14"/>
        <v>3.5996641401007263E-7</v>
      </c>
    </row>
    <row r="271" spans="1:8">
      <c r="A271" t="s">
        <v>276</v>
      </c>
      <c r="B271">
        <v>1.54E-2</v>
      </c>
      <c r="C271">
        <v>0.55869999999999997</v>
      </c>
      <c r="D271">
        <v>705442.96</v>
      </c>
      <c r="E271">
        <f t="shared" si="12"/>
        <v>6069.6171189808001</v>
      </c>
      <c r="F271">
        <v>6069.62</v>
      </c>
      <c r="G271">
        <f t="shared" si="13"/>
        <v>2.8810191997763468E-3</v>
      </c>
      <c r="H271">
        <f t="shared" si="14"/>
        <v>4.746622028687705E-7</v>
      </c>
    </row>
    <row r="272" spans="1:8">
      <c r="A272" t="s">
        <v>277</v>
      </c>
      <c r="B272">
        <v>2.1299999999999999E-2</v>
      </c>
      <c r="C272">
        <v>0.40210000000000001</v>
      </c>
      <c r="D272">
        <v>51071.03</v>
      </c>
      <c r="E272">
        <f t="shared" si="12"/>
        <v>437.40958277189998</v>
      </c>
      <c r="F272">
        <v>437.41</v>
      </c>
      <c r="G272">
        <f t="shared" si="13"/>
        <v>4.172281000478506E-4</v>
      </c>
      <c r="H272">
        <f t="shared" si="14"/>
        <v>9.5386045140223254E-7</v>
      </c>
    </row>
    <row r="273" spans="1:8">
      <c r="A273" t="s">
        <v>278</v>
      </c>
      <c r="B273">
        <v>1.6299999999999999E-2</v>
      </c>
      <c r="C273">
        <v>0.38250000000000001</v>
      </c>
      <c r="D273">
        <v>476698.33</v>
      </c>
      <c r="E273">
        <f t="shared" si="12"/>
        <v>2972.0949129675</v>
      </c>
      <c r="F273">
        <v>2972.09</v>
      </c>
      <c r="G273">
        <f t="shared" si="13"/>
        <v>-4.9129674998766859E-3</v>
      </c>
      <c r="H273">
        <f t="shared" si="14"/>
        <v>-1.6530345648606487E-6</v>
      </c>
    </row>
    <row r="274" spans="1:8">
      <c r="A274" t="s">
        <v>279</v>
      </c>
      <c r="B274">
        <v>0.76400000000000001</v>
      </c>
      <c r="C274">
        <v>0.61899999999999999</v>
      </c>
      <c r="D274">
        <v>0</v>
      </c>
      <c r="E274">
        <f t="shared" si="12"/>
        <v>0</v>
      </c>
      <c r="F274">
        <v>0</v>
      </c>
      <c r="G274">
        <f t="shared" si="13"/>
        <v>0</v>
      </c>
      <c r="H274">
        <f t="shared" si="14"/>
        <v>0</v>
      </c>
    </row>
    <row r="275" spans="1:8">
      <c r="A275" t="s">
        <v>280</v>
      </c>
      <c r="B275">
        <v>1.6899999999999998E-2</v>
      </c>
      <c r="C275">
        <v>0.64910000000000001</v>
      </c>
      <c r="D275">
        <v>90930.46</v>
      </c>
      <c r="E275">
        <f t="shared" si="12"/>
        <v>997.48805080339991</v>
      </c>
      <c r="F275">
        <v>997.49</v>
      </c>
      <c r="G275">
        <f t="shared" si="13"/>
        <v>1.9491966000941829E-3</v>
      </c>
      <c r="H275">
        <f t="shared" si="14"/>
        <v>1.9541013945946153E-6</v>
      </c>
    </row>
    <row r="276" spans="1:8">
      <c r="A276" t="s">
        <v>281</v>
      </c>
      <c r="B276">
        <v>1.9300000000000001E-2</v>
      </c>
      <c r="C276">
        <v>0.50370000000000004</v>
      </c>
      <c r="D276">
        <v>744140.46</v>
      </c>
      <c r="E276">
        <f t="shared" si="12"/>
        <v>7234.0945092486008</v>
      </c>
      <c r="F276">
        <v>7234.09</v>
      </c>
      <c r="G276">
        <f t="shared" si="13"/>
        <v>-4.5092486006979016E-3</v>
      </c>
      <c r="H276">
        <f t="shared" si="14"/>
        <v>-6.2333321823448438E-7</v>
      </c>
    </row>
    <row r="277" spans="1:8">
      <c r="A277" t="s">
        <v>282</v>
      </c>
      <c r="B277">
        <v>2.5000000000000001E-2</v>
      </c>
      <c r="C277">
        <v>0.62670000000000003</v>
      </c>
      <c r="D277">
        <v>128410.54</v>
      </c>
      <c r="E277">
        <f t="shared" si="12"/>
        <v>2011.8721354500001</v>
      </c>
      <c r="F277">
        <v>2011.87</v>
      </c>
      <c r="G277">
        <f t="shared" si="13"/>
        <v>-2.1354500001962151E-3</v>
      </c>
      <c r="H277">
        <f t="shared" si="14"/>
        <v>-1.0614254401110486E-6</v>
      </c>
    </row>
    <row r="278" spans="1:8">
      <c r="A278" t="s">
        <v>283</v>
      </c>
      <c r="B278">
        <v>1.7299999999999999E-2</v>
      </c>
      <c r="C278">
        <v>0.3745</v>
      </c>
      <c r="D278">
        <v>458469.78</v>
      </c>
      <c r="E278">
        <f t="shared" si="12"/>
        <v>2970.3569341530001</v>
      </c>
      <c r="F278">
        <v>2970.36</v>
      </c>
      <c r="G278">
        <f t="shared" si="13"/>
        <v>3.0658470000162197E-3</v>
      </c>
      <c r="H278">
        <f t="shared" si="14"/>
        <v>1.0321466084973605E-6</v>
      </c>
    </row>
    <row r="279" spans="1:8">
      <c r="A279" t="s">
        <v>284</v>
      </c>
      <c r="B279">
        <v>1.4200000000000001E-2</v>
      </c>
      <c r="C279">
        <v>0.61899999999999999</v>
      </c>
      <c r="D279">
        <v>384145.56</v>
      </c>
      <c r="E279">
        <f t="shared" si="12"/>
        <v>3376.5626432880003</v>
      </c>
      <c r="F279">
        <v>3376.56</v>
      </c>
      <c r="G279">
        <f t="shared" si="13"/>
        <v>-2.6432880003994796E-3</v>
      </c>
      <c r="H279">
        <f t="shared" si="14"/>
        <v>-7.8283460101389567E-7</v>
      </c>
    </row>
    <row r="280" spans="1:8">
      <c r="A280" t="s">
        <v>285</v>
      </c>
      <c r="B280">
        <v>2.18E-2</v>
      </c>
      <c r="C280">
        <v>0.48680000000000001</v>
      </c>
      <c r="D280">
        <v>376148.7</v>
      </c>
      <c r="E280">
        <f t="shared" si="12"/>
        <v>3991.7802800880004</v>
      </c>
      <c r="F280">
        <v>3991.78</v>
      </c>
      <c r="G280">
        <f t="shared" si="13"/>
        <v>-2.800880001814221E-4</v>
      </c>
      <c r="H280">
        <f t="shared" si="14"/>
        <v>-7.0166191569029877E-8</v>
      </c>
    </row>
    <row r="281" spans="1:8">
      <c r="A281" t="s">
        <v>286</v>
      </c>
      <c r="B281">
        <v>2.1999999999999999E-2</v>
      </c>
      <c r="C281">
        <v>0.60550000000000004</v>
      </c>
      <c r="D281">
        <v>569887.05000000005</v>
      </c>
      <c r="E281">
        <f t="shared" si="12"/>
        <v>7591.4653930500008</v>
      </c>
      <c r="F281">
        <v>7591.47</v>
      </c>
      <c r="G281">
        <f t="shared" si="13"/>
        <v>4.6069499994700891E-3</v>
      </c>
      <c r="H281">
        <f t="shared" si="14"/>
        <v>6.0685875060694288E-7</v>
      </c>
    </row>
    <row r="282" spans="1:8">
      <c r="A282" t="s">
        <v>287</v>
      </c>
      <c r="B282">
        <v>1.6E-2</v>
      </c>
      <c r="C282">
        <v>0.52170000000000005</v>
      </c>
      <c r="D282">
        <v>312271.53999999998</v>
      </c>
      <c r="E282">
        <f t="shared" si="12"/>
        <v>2606.5929986880001</v>
      </c>
      <c r="F282">
        <v>2606.59</v>
      </c>
      <c r="G282">
        <f t="shared" si="13"/>
        <v>-2.9986879999341909E-3</v>
      </c>
      <c r="H282">
        <f t="shared" si="14"/>
        <v>-1.1504256518801157E-6</v>
      </c>
    </row>
    <row r="283" spans="1:8">
      <c r="A283" t="s">
        <v>288</v>
      </c>
      <c r="B283">
        <v>1.43E-2</v>
      </c>
      <c r="C283">
        <v>0.56230000000000002</v>
      </c>
      <c r="D283">
        <v>2027563.18</v>
      </c>
      <c r="E283">
        <f t="shared" si="12"/>
        <v>16303.4124984302</v>
      </c>
      <c r="F283">
        <v>16303.41</v>
      </c>
      <c r="G283">
        <f t="shared" si="13"/>
        <v>-2.4984301999211311E-3</v>
      </c>
      <c r="H283">
        <f t="shared" si="14"/>
        <v>-1.5324586696409715E-7</v>
      </c>
    </row>
    <row r="284" spans="1:8">
      <c r="A284" t="s">
        <v>289</v>
      </c>
      <c r="B284">
        <v>2.5000000000000001E-2</v>
      </c>
      <c r="C284">
        <v>0.41239999999999999</v>
      </c>
      <c r="D284">
        <v>461791.9</v>
      </c>
      <c r="E284">
        <f t="shared" si="12"/>
        <v>4761.0744890000005</v>
      </c>
      <c r="F284">
        <v>4761.07</v>
      </c>
      <c r="G284">
        <f t="shared" si="13"/>
        <v>-4.4890000008308562E-3</v>
      </c>
      <c r="H284">
        <f t="shared" si="14"/>
        <v>-9.428552827055381E-7</v>
      </c>
    </row>
    <row r="285" spans="1:8">
      <c r="A285" t="s">
        <v>290</v>
      </c>
      <c r="B285">
        <v>1.66E-2</v>
      </c>
      <c r="C285">
        <v>0.45950000000000002</v>
      </c>
      <c r="D285">
        <v>1089426.54</v>
      </c>
      <c r="E285">
        <f t="shared" si="12"/>
        <v>8309.8188191580011</v>
      </c>
      <c r="F285">
        <v>8309.82</v>
      </c>
      <c r="G285">
        <f t="shared" si="13"/>
        <v>1.1808419985754881E-3</v>
      </c>
      <c r="H285">
        <f t="shared" si="14"/>
        <v>1.4210199481763602E-7</v>
      </c>
    </row>
    <row r="286" spans="1:8">
      <c r="A286" t="s">
        <v>291</v>
      </c>
      <c r="B286">
        <v>2.12E-2</v>
      </c>
      <c r="C286">
        <v>0.43149999999999999</v>
      </c>
      <c r="D286">
        <v>986236.06</v>
      </c>
      <c r="E286">
        <f t="shared" si="12"/>
        <v>9021.8902296680008</v>
      </c>
      <c r="F286">
        <v>9021.89</v>
      </c>
      <c r="G286">
        <f t="shared" si="13"/>
        <v>-2.2966800133872312E-4</v>
      </c>
      <c r="H286">
        <f t="shared" si="14"/>
        <v>-2.5456750341527454E-8</v>
      </c>
    </row>
    <row r="287" spans="1:8">
      <c r="A287" t="s">
        <v>292</v>
      </c>
      <c r="B287">
        <v>2.23E-2</v>
      </c>
      <c r="C287">
        <v>0.56499999999999995</v>
      </c>
      <c r="D287">
        <v>374967.25</v>
      </c>
      <c r="E287">
        <f t="shared" si="12"/>
        <v>4724.3998663749999</v>
      </c>
      <c r="F287">
        <v>4724.3999999999996</v>
      </c>
      <c r="G287">
        <f t="shared" si="13"/>
        <v>1.3362499976210529E-4</v>
      </c>
      <c r="H287">
        <f t="shared" si="14"/>
        <v>2.8284014851008657E-8</v>
      </c>
    </row>
    <row r="288" spans="1:8">
      <c r="A288" t="s">
        <v>293</v>
      </c>
      <c r="B288">
        <v>2.4899999999999999E-2</v>
      </c>
      <c r="C288">
        <v>0.43530000000000002</v>
      </c>
      <c r="D288">
        <v>606891.32999999996</v>
      </c>
      <c r="E288">
        <f t="shared" si="12"/>
        <v>6578.0769191300997</v>
      </c>
      <c r="F288">
        <v>6578.08</v>
      </c>
      <c r="G288">
        <f t="shared" si="13"/>
        <v>3.0808699002591311E-3</v>
      </c>
      <c r="H288">
        <f t="shared" si="14"/>
        <v>4.6835397262713911E-7</v>
      </c>
    </row>
    <row r="289" spans="1:8">
      <c r="A289" t="s">
        <v>294</v>
      </c>
      <c r="B289">
        <v>1.5100000000000001E-2</v>
      </c>
      <c r="C289">
        <v>0.56720000000000004</v>
      </c>
      <c r="D289">
        <v>321688.53999999998</v>
      </c>
      <c r="E289">
        <f t="shared" si="12"/>
        <v>2755.1722723088001</v>
      </c>
      <c r="F289">
        <v>2755.17</v>
      </c>
      <c r="G289">
        <f t="shared" si="13"/>
        <v>-2.2723088000020653E-3</v>
      </c>
      <c r="H289">
        <f t="shared" si="14"/>
        <v>-8.2474359114031626E-7</v>
      </c>
    </row>
    <row r="290" spans="1:8">
      <c r="A290" t="s">
        <v>295</v>
      </c>
      <c r="B290">
        <v>2.3300000000000001E-2</v>
      </c>
      <c r="C290">
        <v>0.49480000000000002</v>
      </c>
      <c r="D290">
        <v>180734.86</v>
      </c>
      <c r="E290">
        <f t="shared" si="12"/>
        <v>2083.6632833623999</v>
      </c>
      <c r="F290">
        <v>2083.66</v>
      </c>
      <c r="G290">
        <f t="shared" si="13"/>
        <v>-3.2833623999977135E-3</v>
      </c>
      <c r="H290">
        <f t="shared" si="14"/>
        <v>-1.5757668717534117E-6</v>
      </c>
    </row>
    <row r="291" spans="1:8">
      <c r="A291" t="s">
        <v>296</v>
      </c>
      <c r="B291">
        <v>1.8599999999999998E-2</v>
      </c>
      <c r="C291">
        <v>0.48570000000000002</v>
      </c>
      <c r="D291">
        <v>235630.64</v>
      </c>
      <c r="E291">
        <f t="shared" si="12"/>
        <v>2128.6919143728001</v>
      </c>
      <c r="F291">
        <v>2128.69</v>
      </c>
      <c r="G291">
        <f t="shared" si="13"/>
        <v>-1.914372800001729E-3</v>
      </c>
      <c r="H291">
        <f t="shared" si="14"/>
        <v>-8.993196754819767E-7</v>
      </c>
    </row>
    <row r="292" spans="1:8">
      <c r="A292" t="s">
        <v>297</v>
      </c>
      <c r="B292">
        <v>1.46E-2</v>
      </c>
      <c r="C292">
        <v>0.46479999999999999</v>
      </c>
      <c r="D292">
        <v>574569.55000000005</v>
      </c>
      <c r="E292">
        <f t="shared" si="12"/>
        <v>3899.0749318640001</v>
      </c>
      <c r="F292">
        <v>3899.07</v>
      </c>
      <c r="G292">
        <f t="shared" si="13"/>
        <v>-4.9318639999000879E-3</v>
      </c>
      <c r="H292">
        <f t="shared" si="14"/>
        <v>-1.2648821385356221E-6</v>
      </c>
    </row>
    <row r="293" spans="1:8">
      <c r="A293" t="s">
        <v>298</v>
      </c>
      <c r="B293">
        <v>2.1600000000000001E-2</v>
      </c>
      <c r="C293">
        <v>0.56179999999999997</v>
      </c>
      <c r="D293">
        <v>913707.76</v>
      </c>
      <c r="E293">
        <f t="shared" si="12"/>
        <v>11087.734022668801</v>
      </c>
      <c r="F293">
        <v>11087.73</v>
      </c>
      <c r="G293">
        <f t="shared" si="13"/>
        <v>-4.0226688015536638E-3</v>
      </c>
      <c r="H293">
        <f t="shared" si="14"/>
        <v>-3.6280363983914327E-7</v>
      </c>
    </row>
    <row r="294" spans="1:8">
      <c r="A294" t="s">
        <v>299</v>
      </c>
      <c r="B294">
        <v>2.4E-2</v>
      </c>
      <c r="C294">
        <v>0.50760000000000005</v>
      </c>
      <c r="D294">
        <v>314775.33</v>
      </c>
      <c r="E294">
        <f t="shared" si="12"/>
        <v>3834.7189801920008</v>
      </c>
      <c r="F294">
        <v>3834.72</v>
      </c>
      <c r="G294">
        <f t="shared" si="13"/>
        <v>1.0198079990004771E-3</v>
      </c>
      <c r="H294">
        <f t="shared" si="14"/>
        <v>2.6594066815842544E-7</v>
      </c>
    </row>
    <row r="295" spans="1:8">
      <c r="A295" t="s">
        <v>300</v>
      </c>
      <c r="B295">
        <v>0.92079999999999995</v>
      </c>
      <c r="C295">
        <v>0.63959999999999995</v>
      </c>
      <c r="D295">
        <v>677650.94</v>
      </c>
      <c r="E295">
        <f t="shared" si="12"/>
        <v>399098.23835905915</v>
      </c>
      <c r="F295">
        <v>399098.24</v>
      </c>
      <c r="G295">
        <f t="shared" si="13"/>
        <v>1.6409408417530358E-3</v>
      </c>
      <c r="H295">
        <f t="shared" si="14"/>
        <v>4.1116213435394646E-9</v>
      </c>
    </row>
    <row r="296" spans="1:8">
      <c r="A296" t="s">
        <v>301</v>
      </c>
      <c r="B296">
        <v>1.7600000000000001E-2</v>
      </c>
      <c r="C296">
        <v>0.4365</v>
      </c>
      <c r="D296">
        <v>790438.95</v>
      </c>
      <c r="E296">
        <f t="shared" si="12"/>
        <v>6072.4681894800005</v>
      </c>
      <c r="F296">
        <v>6072.47</v>
      </c>
      <c r="G296">
        <f t="shared" si="13"/>
        <v>1.810519999708049E-3</v>
      </c>
      <c r="H296">
        <f t="shared" si="14"/>
        <v>2.9815215220627669E-7</v>
      </c>
    </row>
    <row r="297" spans="1:8">
      <c r="A297" t="s">
        <v>302</v>
      </c>
      <c r="B297">
        <v>2.5000000000000001E-2</v>
      </c>
      <c r="C297">
        <v>0.52910000000000001</v>
      </c>
      <c r="D297">
        <v>934802.02</v>
      </c>
      <c r="E297">
        <f t="shared" si="12"/>
        <v>12365.093719550001</v>
      </c>
      <c r="F297">
        <v>12365.09</v>
      </c>
      <c r="G297">
        <f t="shared" si="13"/>
        <v>-3.7195500008238014E-3</v>
      </c>
      <c r="H297">
        <f t="shared" si="14"/>
        <v>-3.0081058858639939E-7</v>
      </c>
    </row>
    <row r="298" spans="1:8">
      <c r="A298" t="s">
        <v>303</v>
      </c>
      <c r="B298">
        <v>0.1283</v>
      </c>
      <c r="C298">
        <v>0.44069999999999998</v>
      </c>
      <c r="D298">
        <v>390578.87</v>
      </c>
      <c r="E298">
        <f t="shared" si="12"/>
        <v>22084.036257554701</v>
      </c>
      <c r="F298">
        <v>22084.04</v>
      </c>
      <c r="G298">
        <f t="shared" si="13"/>
        <v>3.7424453003040981E-3</v>
      </c>
      <c r="H298">
        <f t="shared" si="14"/>
        <v>1.6946379830430021E-7</v>
      </c>
    </row>
    <row r="299" spans="1:8">
      <c r="A299" t="s">
        <v>304</v>
      </c>
      <c r="B299">
        <v>1.5599999999999999E-2</v>
      </c>
      <c r="C299">
        <v>0.61850000000000005</v>
      </c>
      <c r="D299">
        <v>1872353.21</v>
      </c>
      <c r="E299">
        <f t="shared" si="12"/>
        <v>18065.587182005998</v>
      </c>
      <c r="F299">
        <v>18065.59</v>
      </c>
      <c r="G299">
        <f t="shared" si="13"/>
        <v>2.8179940018162597E-3</v>
      </c>
      <c r="H299">
        <f t="shared" si="14"/>
        <v>1.5598682366954302E-7</v>
      </c>
    </row>
    <row r="300" spans="1:8">
      <c r="A300" t="s">
        <v>305</v>
      </c>
      <c r="B300">
        <v>2.3800000000000002E-2</v>
      </c>
      <c r="C300">
        <v>0.54720000000000002</v>
      </c>
      <c r="D300">
        <v>708433.72</v>
      </c>
      <c r="E300">
        <f t="shared" si="12"/>
        <v>9226.1873716992013</v>
      </c>
      <c r="F300">
        <v>9226.19</v>
      </c>
      <c r="G300">
        <f t="shared" si="13"/>
        <v>2.6283007991878549E-3</v>
      </c>
      <c r="H300">
        <f t="shared" si="14"/>
        <v>2.8487390777643367E-7</v>
      </c>
    </row>
    <row r="301" spans="1:8">
      <c r="A301" t="s">
        <v>306</v>
      </c>
      <c r="B301">
        <v>1.7299999999999999E-2</v>
      </c>
      <c r="C301">
        <v>0.64449999999999996</v>
      </c>
      <c r="D301">
        <v>1457540.03</v>
      </c>
      <c r="E301">
        <f t="shared" si="12"/>
        <v>16251.352703495499</v>
      </c>
      <c r="F301">
        <v>16251.35</v>
      </c>
      <c r="G301">
        <f t="shared" si="13"/>
        <v>-2.7034954982809722E-3</v>
      </c>
      <c r="H301">
        <f t="shared" si="14"/>
        <v>-1.6635513346774098E-7</v>
      </c>
    </row>
    <row r="302" spans="1:8">
      <c r="A302" t="s">
        <v>307</v>
      </c>
      <c r="B302">
        <v>2.1000000000000001E-2</v>
      </c>
      <c r="C302">
        <v>0.59899999999999998</v>
      </c>
      <c r="D302">
        <v>135429.20000000001</v>
      </c>
      <c r="E302">
        <f t="shared" si="12"/>
        <v>1703.5639068</v>
      </c>
      <c r="F302">
        <v>1703.56</v>
      </c>
      <c r="G302">
        <f t="shared" si="13"/>
        <v>-3.9068000000952452E-3</v>
      </c>
      <c r="H302">
        <f t="shared" si="14"/>
        <v>-2.2933151753359115E-6</v>
      </c>
    </row>
    <row r="303" spans="1:8">
      <c r="A303" t="s">
        <v>308</v>
      </c>
      <c r="B303">
        <v>0.1002</v>
      </c>
      <c r="C303">
        <v>0.5726</v>
      </c>
      <c r="D303">
        <v>644355.17000000004</v>
      </c>
      <c r="E303">
        <f t="shared" si="12"/>
        <v>36969.568588268405</v>
      </c>
      <c r="F303">
        <v>36969.57</v>
      </c>
      <c r="G303">
        <f t="shared" si="13"/>
        <v>1.4117315949988551E-3</v>
      </c>
      <c r="H303">
        <f t="shared" si="14"/>
        <v>3.8186313635751113E-8</v>
      </c>
    </row>
    <row r="304" spans="1:8">
      <c r="A304" t="s">
        <v>309</v>
      </c>
      <c r="B304">
        <v>2.0799999999999999E-2</v>
      </c>
      <c r="C304">
        <v>0.38819999999999999</v>
      </c>
      <c r="D304">
        <v>254711.16</v>
      </c>
      <c r="E304">
        <f t="shared" si="12"/>
        <v>2056.6805440896001</v>
      </c>
      <c r="F304">
        <v>2056.6799999999998</v>
      </c>
      <c r="G304">
        <f t="shared" si="13"/>
        <v>-5.440896002255613E-4</v>
      </c>
      <c r="H304">
        <f t="shared" si="14"/>
        <v>-2.6454752330239091E-7</v>
      </c>
    </row>
    <row r="305" spans="1:8">
      <c r="A305" t="s">
        <v>310</v>
      </c>
      <c r="B305">
        <v>0.15049999999999999</v>
      </c>
      <c r="C305">
        <v>0.54900000000000004</v>
      </c>
      <c r="D305">
        <v>417457.58</v>
      </c>
      <c r="E305">
        <f t="shared" si="12"/>
        <v>34492.223818710001</v>
      </c>
      <c r="F305">
        <v>34492.22</v>
      </c>
      <c r="G305">
        <f t="shared" si="13"/>
        <v>-3.8187099999049678E-3</v>
      </c>
      <c r="H305">
        <f t="shared" si="14"/>
        <v>-1.1071221278030141E-7</v>
      </c>
    </row>
    <row r="306" spans="1:8">
      <c r="A306" t="s">
        <v>311</v>
      </c>
      <c r="B306">
        <v>2.06E-2</v>
      </c>
      <c r="C306">
        <v>0.36559999999999998</v>
      </c>
      <c r="D306">
        <v>116282.63</v>
      </c>
      <c r="E306">
        <f t="shared" si="12"/>
        <v>875.76634827680004</v>
      </c>
      <c r="F306">
        <v>875.77</v>
      </c>
      <c r="G306">
        <f t="shared" si="13"/>
        <v>3.651723199936896E-3</v>
      </c>
      <c r="H306">
        <f t="shared" si="14"/>
        <v>4.1697285816331871E-6</v>
      </c>
    </row>
    <row r="307" spans="1:8">
      <c r="A307" t="s">
        <v>312</v>
      </c>
      <c r="B307">
        <v>1.5599999999999999E-2</v>
      </c>
      <c r="C307">
        <v>0.46929999999999999</v>
      </c>
      <c r="D307">
        <v>1921585.01</v>
      </c>
      <c r="E307">
        <f t="shared" si="12"/>
        <v>14068.0775850108</v>
      </c>
      <c r="F307">
        <v>14068.08</v>
      </c>
      <c r="G307">
        <f t="shared" si="13"/>
        <v>2.41498919967853E-3</v>
      </c>
      <c r="H307">
        <f t="shared" si="14"/>
        <v>1.7166444885716672E-7</v>
      </c>
    </row>
    <row r="308" spans="1:8">
      <c r="A308" t="s">
        <v>313</v>
      </c>
      <c r="B308">
        <v>1.44E-2</v>
      </c>
      <c r="C308">
        <v>0.42049999999999998</v>
      </c>
      <c r="D308">
        <v>694877.51</v>
      </c>
      <c r="E308">
        <f t="shared" si="12"/>
        <v>4207.6222985519998</v>
      </c>
      <c r="F308">
        <v>4207.62</v>
      </c>
      <c r="G308">
        <f t="shared" si="13"/>
        <v>-2.298551999956544E-3</v>
      </c>
      <c r="H308">
        <f t="shared" si="14"/>
        <v>-5.4628317194911705E-7</v>
      </c>
    </row>
    <row r="309" spans="1:8">
      <c r="A309" t="s">
        <v>314</v>
      </c>
      <c r="B309">
        <v>2.3699999999999999E-2</v>
      </c>
      <c r="C309">
        <v>0.52729999999999999</v>
      </c>
      <c r="D309">
        <v>353059.14</v>
      </c>
      <c r="E309">
        <f t="shared" si="12"/>
        <v>4412.1836031714001</v>
      </c>
      <c r="F309">
        <v>4412.18</v>
      </c>
      <c r="G309">
        <f t="shared" si="13"/>
        <v>-3.6031713998454507E-3</v>
      </c>
      <c r="H309">
        <f t="shared" si="14"/>
        <v>-8.1664197740016278E-7</v>
      </c>
    </row>
    <row r="310" spans="1:8">
      <c r="A310" t="s">
        <v>315</v>
      </c>
      <c r="B310">
        <v>2.1399999999999999E-2</v>
      </c>
      <c r="C310">
        <v>0.45850000000000002</v>
      </c>
      <c r="D310">
        <v>1255571.8600000001</v>
      </c>
      <c r="E310">
        <f t="shared" si="12"/>
        <v>12319.545533134002</v>
      </c>
      <c r="F310">
        <v>12319.55</v>
      </c>
      <c r="G310">
        <f t="shared" si="13"/>
        <v>4.4668659975286573E-3</v>
      </c>
      <c r="H310">
        <f t="shared" si="14"/>
        <v>3.6258353572400434E-7</v>
      </c>
    </row>
    <row r="311" spans="1:8">
      <c r="A311" t="s">
        <v>316</v>
      </c>
      <c r="B311">
        <v>2.1600000000000001E-2</v>
      </c>
      <c r="C311">
        <v>0.39410000000000001</v>
      </c>
      <c r="D311">
        <v>1497969.28</v>
      </c>
      <c r="E311">
        <f t="shared" si="12"/>
        <v>12751.553374156802</v>
      </c>
      <c r="F311">
        <v>12751.55</v>
      </c>
      <c r="G311">
        <f t="shared" si="13"/>
        <v>-3.3741568022378488E-3</v>
      </c>
      <c r="H311">
        <f t="shared" si="14"/>
        <v>-2.6460758121466403E-7</v>
      </c>
    </row>
    <row r="312" spans="1:8">
      <c r="A312" t="s">
        <v>317</v>
      </c>
      <c r="B312">
        <v>2.5700000000000001E-2</v>
      </c>
      <c r="C312">
        <v>0.61919999999999997</v>
      </c>
      <c r="D312">
        <v>260044.1</v>
      </c>
      <c r="E312">
        <f t="shared" si="12"/>
        <v>4138.1961827040004</v>
      </c>
      <c r="F312">
        <v>4138.2</v>
      </c>
      <c r="G312">
        <f t="shared" si="13"/>
        <v>3.8172959993971745E-3</v>
      </c>
      <c r="H312">
        <f t="shared" si="14"/>
        <v>9.2245324039369165E-7</v>
      </c>
    </row>
    <row r="313" spans="1:8">
      <c r="A313" t="s">
        <v>318</v>
      </c>
      <c r="B313">
        <v>2.1299999999999999E-2</v>
      </c>
      <c r="C313">
        <v>0.54779999999999995</v>
      </c>
      <c r="D313">
        <v>341492.21</v>
      </c>
      <c r="E313">
        <f t="shared" si="12"/>
        <v>3984.5789151893996</v>
      </c>
      <c r="F313">
        <v>3984.58</v>
      </c>
      <c r="G313">
        <f t="shared" si="13"/>
        <v>1.0848106003322755E-3</v>
      </c>
      <c r="H313">
        <f t="shared" si="14"/>
        <v>2.7225218224562578E-7</v>
      </c>
    </row>
    <row r="314" spans="1:8">
      <c r="A314" t="s">
        <v>319</v>
      </c>
      <c r="B314">
        <v>1.78E-2</v>
      </c>
      <c r="C314">
        <v>0.3745</v>
      </c>
      <c r="D314">
        <v>489058.34</v>
      </c>
      <c r="E314">
        <f t="shared" si="12"/>
        <v>3260.1118002740004</v>
      </c>
      <c r="F314">
        <v>3260.11</v>
      </c>
      <c r="G314">
        <f t="shared" si="13"/>
        <v>-1.8002740002884821E-3</v>
      </c>
      <c r="H314">
        <f t="shared" si="14"/>
        <v>-5.5221265548968652E-7</v>
      </c>
    </row>
    <row r="315" spans="1:8">
      <c r="A315" t="s">
        <v>320</v>
      </c>
      <c r="B315">
        <v>1.49E-2</v>
      </c>
      <c r="C315">
        <v>0.62619999999999998</v>
      </c>
      <c r="D315">
        <v>463485.45</v>
      </c>
      <c r="E315">
        <f t="shared" si="12"/>
        <v>4324.4953729709996</v>
      </c>
      <c r="F315">
        <v>4324.5</v>
      </c>
      <c r="G315">
        <f t="shared" si="13"/>
        <v>4.6270290004031267E-3</v>
      </c>
      <c r="H315">
        <f t="shared" si="14"/>
        <v>1.069956989340531E-6</v>
      </c>
    </row>
    <row r="316" spans="1:8">
      <c r="A316" t="s">
        <v>321</v>
      </c>
      <c r="B316">
        <v>1.7899999999999999E-2</v>
      </c>
      <c r="C316">
        <v>0.4456</v>
      </c>
      <c r="D316">
        <v>417569.7</v>
      </c>
      <c r="E316">
        <f t="shared" si="12"/>
        <v>3330.6361439279999</v>
      </c>
      <c r="F316">
        <v>3330.64</v>
      </c>
      <c r="G316">
        <f t="shared" si="13"/>
        <v>3.8560719999622961E-3</v>
      </c>
      <c r="H316">
        <f t="shared" si="14"/>
        <v>1.15775706769939E-6</v>
      </c>
    </row>
    <row r="317" spans="1:8">
      <c r="A317" t="s">
        <v>322</v>
      </c>
      <c r="B317">
        <v>1.7399999999999999E-2</v>
      </c>
      <c r="C317">
        <v>0.63439999999999996</v>
      </c>
      <c r="D317">
        <v>177264.26</v>
      </c>
      <c r="E317">
        <f t="shared" si="12"/>
        <v>1956.7421698656001</v>
      </c>
      <c r="F317">
        <v>1956.74</v>
      </c>
      <c r="G317">
        <f t="shared" si="13"/>
        <v>-2.1698656000808114E-3</v>
      </c>
      <c r="H317">
        <f t="shared" si="14"/>
        <v>-1.1089187117761233E-6</v>
      </c>
    </row>
    <row r="318" spans="1:8">
      <c r="A318" t="s">
        <v>323</v>
      </c>
      <c r="B318">
        <v>2.41E-2</v>
      </c>
      <c r="C318">
        <v>0.54830000000000001</v>
      </c>
      <c r="D318">
        <v>0</v>
      </c>
      <c r="E318">
        <f t="shared" si="12"/>
        <v>0</v>
      </c>
      <c r="F318">
        <v>0</v>
      </c>
      <c r="G318">
        <f t="shared" si="13"/>
        <v>0</v>
      </c>
      <c r="H318">
        <f t="shared" si="14"/>
        <v>0</v>
      </c>
    </row>
    <row r="319" spans="1:8">
      <c r="A319" t="s">
        <v>324</v>
      </c>
      <c r="B319">
        <v>2.4500000000000001E-2</v>
      </c>
      <c r="C319">
        <v>0.60219999999999996</v>
      </c>
      <c r="D319">
        <v>451649.35</v>
      </c>
      <c r="E319">
        <f t="shared" si="12"/>
        <v>6663.5893449650002</v>
      </c>
      <c r="F319">
        <v>6663.59</v>
      </c>
      <c r="G319">
        <f t="shared" si="13"/>
        <v>6.5503499990882119E-4</v>
      </c>
      <c r="H319">
        <f t="shared" si="14"/>
        <v>9.8300615720478172E-8</v>
      </c>
    </row>
    <row r="320" spans="1:8">
      <c r="A320" t="s">
        <v>325</v>
      </c>
      <c r="B320">
        <v>2.2100000000000002E-2</v>
      </c>
      <c r="C320">
        <v>0.47339999999999999</v>
      </c>
      <c r="D320">
        <v>767763.69</v>
      </c>
      <c r="E320">
        <f t="shared" si="12"/>
        <v>8032.4512116965998</v>
      </c>
      <c r="F320">
        <v>8032.45</v>
      </c>
      <c r="G320">
        <f t="shared" si="13"/>
        <v>-1.2116965999666718E-3</v>
      </c>
      <c r="H320">
        <f t="shared" si="14"/>
        <v>-1.5085018891703924E-7</v>
      </c>
    </row>
    <row r="321" spans="1:8">
      <c r="A321" t="s">
        <v>326</v>
      </c>
      <c r="B321">
        <v>2.4299999999999999E-2</v>
      </c>
      <c r="C321">
        <v>0.41880000000000001</v>
      </c>
      <c r="D321">
        <v>0</v>
      </c>
      <c r="E321">
        <f t="shared" si="12"/>
        <v>0</v>
      </c>
      <c r="F321">
        <v>0</v>
      </c>
      <c r="G321">
        <f t="shared" si="13"/>
        <v>0</v>
      </c>
      <c r="H321">
        <f t="shared" si="14"/>
        <v>0</v>
      </c>
    </row>
    <row r="322" spans="1:8">
      <c r="A322" t="s">
        <v>327</v>
      </c>
      <c r="B322">
        <v>0.1439</v>
      </c>
      <c r="C322">
        <v>0.60780000000000001</v>
      </c>
      <c r="D322">
        <v>0</v>
      </c>
      <c r="E322">
        <f t="shared" si="12"/>
        <v>0</v>
      </c>
      <c r="F322">
        <v>0</v>
      </c>
      <c r="G322">
        <f t="shared" si="13"/>
        <v>0</v>
      </c>
      <c r="H322">
        <f t="shared" si="14"/>
        <v>0</v>
      </c>
    </row>
    <row r="323" spans="1:8">
      <c r="A323" t="s">
        <v>328</v>
      </c>
      <c r="B323">
        <v>2.1700000000000001E-2</v>
      </c>
      <c r="C323">
        <v>0.44969999999999999</v>
      </c>
      <c r="D323">
        <v>644925.97</v>
      </c>
      <c r="E323">
        <f t="shared" ref="E323:E386" si="15">B323*C323*D323</f>
        <v>6293.5036289852997</v>
      </c>
      <c r="F323">
        <v>6293.5</v>
      </c>
      <c r="G323">
        <f t="shared" ref="G323:G386" si="16">F323-E323</f>
        <v>-3.6289852996560512E-3</v>
      </c>
      <c r="H323">
        <f t="shared" ref="H323:H386" si="17">IFERROR(G323/F323,0)</f>
        <v>-5.7662434252102184E-7</v>
      </c>
    </row>
    <row r="324" spans="1:8">
      <c r="A324" t="s">
        <v>329</v>
      </c>
      <c r="B324">
        <v>0.121</v>
      </c>
      <c r="C324">
        <v>0.60760000000000003</v>
      </c>
      <c r="D324">
        <v>337072.24</v>
      </c>
      <c r="E324">
        <f t="shared" si="15"/>
        <v>24781.416255904001</v>
      </c>
      <c r="F324">
        <v>24781.42</v>
      </c>
      <c r="G324">
        <f t="shared" si="16"/>
        <v>3.7440959968080278E-3</v>
      </c>
      <c r="H324">
        <f t="shared" si="17"/>
        <v>1.5108480453533447E-7</v>
      </c>
    </row>
    <row r="325" spans="1:8">
      <c r="A325" t="s">
        <v>330</v>
      </c>
      <c r="B325">
        <v>1.5699999999999999E-2</v>
      </c>
      <c r="C325">
        <v>0.50700000000000001</v>
      </c>
      <c r="D325">
        <v>1039200.83</v>
      </c>
      <c r="E325">
        <f t="shared" si="15"/>
        <v>8271.9346867169988</v>
      </c>
      <c r="F325">
        <v>8271.93</v>
      </c>
      <c r="G325">
        <f t="shared" si="16"/>
        <v>-4.6867169985489454E-3</v>
      </c>
      <c r="H325">
        <f t="shared" si="17"/>
        <v>-5.6658083404343907E-7</v>
      </c>
    </row>
    <row r="326" spans="1:8">
      <c r="A326" t="s">
        <v>331</v>
      </c>
      <c r="B326">
        <v>2.1499999999999998E-2</v>
      </c>
      <c r="C326">
        <v>0.62839999999999996</v>
      </c>
      <c r="D326">
        <v>232261.68</v>
      </c>
      <c r="E326">
        <f t="shared" si="15"/>
        <v>3137.9946538079994</v>
      </c>
      <c r="F326">
        <v>3137.99</v>
      </c>
      <c r="G326">
        <f t="shared" si="16"/>
        <v>-4.6538079996025772E-3</v>
      </c>
      <c r="H326">
        <f t="shared" si="17"/>
        <v>-1.4830538018293804E-6</v>
      </c>
    </row>
    <row r="327" spans="1:8">
      <c r="A327" t="s">
        <v>332</v>
      </c>
      <c r="B327">
        <v>0.66810000000000003</v>
      </c>
      <c r="C327">
        <v>0.49259999999999998</v>
      </c>
      <c r="D327">
        <v>271619.13</v>
      </c>
      <c r="E327">
        <f t="shared" si="15"/>
        <v>89391.501694927792</v>
      </c>
      <c r="F327">
        <v>89391.5</v>
      </c>
      <c r="G327">
        <f t="shared" si="16"/>
        <v>-1.6949277924140915E-3</v>
      </c>
      <c r="H327">
        <f t="shared" si="17"/>
        <v>-1.8960726606154851E-8</v>
      </c>
    </row>
    <row r="328" spans="1:8">
      <c r="A328" t="s">
        <v>333</v>
      </c>
      <c r="B328">
        <v>1.61E-2</v>
      </c>
      <c r="C328">
        <v>0.60980000000000001</v>
      </c>
      <c r="D328">
        <v>327821.57</v>
      </c>
      <c r="E328">
        <f t="shared" si="15"/>
        <v>3218.4800535146001</v>
      </c>
      <c r="F328">
        <v>3218.48</v>
      </c>
      <c r="G328">
        <f t="shared" si="16"/>
        <v>-5.3514600040216465E-5</v>
      </c>
      <c r="H328">
        <f t="shared" si="17"/>
        <v>-1.6627289913318232E-8</v>
      </c>
    </row>
    <row r="329" spans="1:8">
      <c r="A329" t="s">
        <v>334</v>
      </c>
      <c r="B329">
        <v>2.5999999999999999E-2</v>
      </c>
      <c r="C329">
        <v>0.53969999999999996</v>
      </c>
      <c r="D329">
        <v>113583.55</v>
      </c>
      <c r="E329">
        <f t="shared" si="15"/>
        <v>1593.8270903099999</v>
      </c>
      <c r="F329">
        <v>1593.83</v>
      </c>
      <c r="G329">
        <f t="shared" si="16"/>
        <v>2.9096900000240566E-3</v>
      </c>
      <c r="H329">
        <f t="shared" si="17"/>
        <v>1.8255962053820401E-6</v>
      </c>
    </row>
    <row r="330" spans="1:8">
      <c r="A330" t="s">
        <v>335</v>
      </c>
      <c r="B330">
        <v>1.9E-2</v>
      </c>
      <c r="C330">
        <v>0.55030000000000001</v>
      </c>
      <c r="D330">
        <v>435825.19</v>
      </c>
      <c r="E330">
        <f t="shared" si="15"/>
        <v>4556.8574390829999</v>
      </c>
      <c r="F330">
        <v>4556.8599999999997</v>
      </c>
      <c r="G330">
        <f t="shared" si="16"/>
        <v>2.5609169997551362E-3</v>
      </c>
      <c r="H330">
        <f t="shared" si="17"/>
        <v>5.6199159064687881E-7</v>
      </c>
    </row>
    <row r="331" spans="1:8">
      <c r="A331" t="s">
        <v>336</v>
      </c>
      <c r="B331">
        <v>2.35E-2</v>
      </c>
      <c r="C331">
        <v>0.4153</v>
      </c>
      <c r="D331">
        <v>526708.84</v>
      </c>
      <c r="E331">
        <f t="shared" si="15"/>
        <v>5140.4412594220003</v>
      </c>
      <c r="F331">
        <v>5140.4399999999996</v>
      </c>
      <c r="G331">
        <f t="shared" si="16"/>
        <v>-1.2594220006576506E-3</v>
      </c>
      <c r="H331">
        <f t="shared" si="17"/>
        <v>-2.450027625373802E-7</v>
      </c>
    </row>
    <row r="332" spans="1:8">
      <c r="A332" t="s">
        <v>337</v>
      </c>
      <c r="B332">
        <v>1.44E-2</v>
      </c>
      <c r="C332">
        <v>0.60040000000000004</v>
      </c>
      <c r="D332">
        <v>333145.2</v>
      </c>
      <c r="E332">
        <f t="shared" si="15"/>
        <v>2880.2934443520003</v>
      </c>
      <c r="F332">
        <v>2880.29</v>
      </c>
      <c r="G332">
        <f t="shared" si="16"/>
        <v>-3.4443520003151207E-3</v>
      </c>
      <c r="H332">
        <f t="shared" si="17"/>
        <v>-1.195835141709731E-6</v>
      </c>
    </row>
    <row r="333" spans="1:8">
      <c r="A333" t="s">
        <v>338</v>
      </c>
      <c r="B333">
        <v>0.1381</v>
      </c>
      <c r="C333">
        <v>0.48170000000000002</v>
      </c>
      <c r="D333">
        <v>628829.29</v>
      </c>
      <c r="E333">
        <f t="shared" si="15"/>
        <v>41831.466227933306</v>
      </c>
      <c r="F333">
        <v>41831.47</v>
      </c>
      <c r="G333">
        <f t="shared" si="16"/>
        <v>3.7720666950917803E-3</v>
      </c>
      <c r="H333">
        <f t="shared" si="17"/>
        <v>9.0172941450343007E-8</v>
      </c>
    </row>
    <row r="334" spans="1:8">
      <c r="A334" t="s">
        <v>339</v>
      </c>
      <c r="B334">
        <v>1.5599999999999999E-2</v>
      </c>
      <c r="C334">
        <v>0.44990000000000002</v>
      </c>
      <c r="D334">
        <v>957436.61</v>
      </c>
      <c r="E334">
        <f t="shared" si="15"/>
        <v>6719.7114010883997</v>
      </c>
      <c r="F334">
        <v>6719.71</v>
      </c>
      <c r="G334">
        <f t="shared" si="16"/>
        <v>-1.4010883996888879E-3</v>
      </c>
      <c r="H334">
        <f t="shared" si="17"/>
        <v>-2.0850429552598071E-7</v>
      </c>
    </row>
    <row r="335" spans="1:8">
      <c r="A335" t="s">
        <v>340</v>
      </c>
      <c r="B335">
        <v>2.3199999999999998E-2</v>
      </c>
      <c r="C335">
        <v>0.37869999999999998</v>
      </c>
      <c r="D335">
        <v>441874.06</v>
      </c>
      <c r="E335">
        <f t="shared" si="15"/>
        <v>3882.2347913103999</v>
      </c>
      <c r="F335">
        <v>3882.23</v>
      </c>
      <c r="G335">
        <f t="shared" si="16"/>
        <v>-4.7913103999235318E-3</v>
      </c>
      <c r="H335">
        <f t="shared" si="17"/>
        <v>-1.2341644879163605E-6</v>
      </c>
    </row>
    <row r="336" spans="1:8">
      <c r="A336" t="s">
        <v>341</v>
      </c>
      <c r="B336">
        <v>1.77E-2</v>
      </c>
      <c r="C336">
        <v>0.55259999999999998</v>
      </c>
      <c r="D336">
        <v>514507.77</v>
      </c>
      <c r="E336">
        <f t="shared" si="15"/>
        <v>5032.4107885253998</v>
      </c>
      <c r="F336">
        <v>5032.41</v>
      </c>
      <c r="G336">
        <f t="shared" si="16"/>
        <v>-7.885253999120323E-4</v>
      </c>
      <c r="H336">
        <f t="shared" si="17"/>
        <v>-1.5668941916736362E-7</v>
      </c>
    </row>
    <row r="337" spans="1:8">
      <c r="A337" t="s">
        <v>342</v>
      </c>
      <c r="B337">
        <v>2.41E-2</v>
      </c>
      <c r="C337">
        <v>0.64149999999999996</v>
      </c>
      <c r="D337">
        <v>0</v>
      </c>
      <c r="E337">
        <f t="shared" si="15"/>
        <v>0</v>
      </c>
      <c r="F337">
        <v>0</v>
      </c>
      <c r="G337">
        <f t="shared" si="16"/>
        <v>0</v>
      </c>
      <c r="H337">
        <f t="shared" si="17"/>
        <v>0</v>
      </c>
    </row>
    <row r="338" spans="1:8">
      <c r="A338" t="s">
        <v>343</v>
      </c>
      <c r="B338">
        <v>1.7899999999999999E-2</v>
      </c>
      <c r="C338">
        <v>0.54079999999999995</v>
      </c>
      <c r="D338">
        <v>383699.9</v>
      </c>
      <c r="E338">
        <f t="shared" si="15"/>
        <v>3714.3378159680001</v>
      </c>
      <c r="F338">
        <v>3714.34</v>
      </c>
      <c r="G338">
        <f t="shared" si="16"/>
        <v>2.1840320000592328E-3</v>
      </c>
      <c r="H338">
        <f t="shared" si="17"/>
        <v>5.880000215540938E-7</v>
      </c>
    </row>
    <row r="339" spans="1:8">
      <c r="A339" t="s">
        <v>344</v>
      </c>
      <c r="B339">
        <v>2.4E-2</v>
      </c>
      <c r="C339">
        <v>0.48</v>
      </c>
      <c r="D339">
        <v>719413.31</v>
      </c>
      <c r="E339">
        <f t="shared" si="15"/>
        <v>8287.6413312000004</v>
      </c>
      <c r="F339">
        <v>8287.64</v>
      </c>
      <c r="G339">
        <f t="shared" si="16"/>
        <v>-1.3312000010046177E-3</v>
      </c>
      <c r="H339">
        <f t="shared" si="17"/>
        <v>-1.6062473768221325E-7</v>
      </c>
    </row>
    <row r="340" spans="1:8">
      <c r="A340" t="s">
        <v>345</v>
      </c>
      <c r="B340">
        <v>1.52E-2</v>
      </c>
      <c r="C340">
        <v>0.41739999999999999</v>
      </c>
      <c r="D340">
        <v>514175.62</v>
      </c>
      <c r="E340">
        <f t="shared" si="15"/>
        <v>3262.1769375775998</v>
      </c>
      <c r="F340">
        <v>3262.18</v>
      </c>
      <c r="G340">
        <f t="shared" si="16"/>
        <v>3.0624224000348477E-3</v>
      </c>
      <c r="H340">
        <f t="shared" si="17"/>
        <v>9.3876561073725175E-7</v>
      </c>
    </row>
    <row r="341" spans="1:8">
      <c r="A341" t="s">
        <v>346</v>
      </c>
      <c r="B341">
        <v>2.3E-2</v>
      </c>
      <c r="C341">
        <v>0.50890000000000002</v>
      </c>
      <c r="D341">
        <v>1975192.39</v>
      </c>
      <c r="E341">
        <f t="shared" si="15"/>
        <v>23119.034367232998</v>
      </c>
      <c r="F341">
        <v>23119.03</v>
      </c>
      <c r="G341">
        <f t="shared" si="16"/>
        <v>-4.3672329993569292E-3</v>
      </c>
      <c r="H341">
        <f t="shared" si="17"/>
        <v>-1.8890208626213685E-7</v>
      </c>
    </row>
    <row r="342" spans="1:8">
      <c r="A342" t="s">
        <v>347</v>
      </c>
      <c r="B342">
        <v>2.06E-2</v>
      </c>
      <c r="C342">
        <v>0.4556</v>
      </c>
      <c r="D342">
        <v>603659.91</v>
      </c>
      <c r="E342">
        <f t="shared" si="15"/>
        <v>5665.5655729176005</v>
      </c>
      <c r="F342">
        <v>5665.57</v>
      </c>
      <c r="G342">
        <f t="shared" si="16"/>
        <v>4.4270823991610087E-3</v>
      </c>
      <c r="H342">
        <f t="shared" si="17"/>
        <v>7.8140105923340615E-7</v>
      </c>
    </row>
    <row r="343" spans="1:8">
      <c r="A343" t="s">
        <v>348</v>
      </c>
      <c r="B343">
        <v>2.12E-2</v>
      </c>
      <c r="C343">
        <v>0.5696</v>
      </c>
      <c r="D343">
        <v>1850907.54</v>
      </c>
      <c r="E343">
        <f t="shared" si="15"/>
        <v>22350.671017420798</v>
      </c>
      <c r="F343">
        <v>22350.67</v>
      </c>
      <c r="G343">
        <f t="shared" si="16"/>
        <v>-1.0174208000535145E-3</v>
      </c>
      <c r="H343">
        <f t="shared" si="17"/>
        <v>-4.5520818841382142E-8</v>
      </c>
    </row>
    <row r="344" spans="1:8">
      <c r="A344" t="s">
        <v>349</v>
      </c>
      <c r="B344">
        <v>2.4500000000000001E-2</v>
      </c>
      <c r="C344">
        <v>0.62270000000000003</v>
      </c>
      <c r="D344">
        <v>296863.37</v>
      </c>
      <c r="E344">
        <f t="shared" si="15"/>
        <v>4528.9921022255003</v>
      </c>
      <c r="F344">
        <v>4528.99</v>
      </c>
      <c r="G344">
        <f t="shared" si="16"/>
        <v>-2.1022255004936596E-3</v>
      </c>
      <c r="H344">
        <f t="shared" si="17"/>
        <v>-4.6417093005143744E-7</v>
      </c>
    </row>
    <row r="345" spans="1:8">
      <c r="A345" t="s">
        <v>350</v>
      </c>
      <c r="B345">
        <v>2.4199999999999999E-2</v>
      </c>
      <c r="C345">
        <v>0.57740000000000002</v>
      </c>
      <c r="D345">
        <v>2109529.6</v>
      </c>
      <c r="E345">
        <f t="shared" si="15"/>
        <v>29476.625863168003</v>
      </c>
      <c r="F345">
        <v>29476.63</v>
      </c>
      <c r="G345">
        <f t="shared" si="16"/>
        <v>4.1368319980392698E-3</v>
      </c>
      <c r="H345">
        <f t="shared" si="17"/>
        <v>1.4034277317452063E-7</v>
      </c>
    </row>
    <row r="346" spans="1:8">
      <c r="A346" t="s">
        <v>351</v>
      </c>
      <c r="B346">
        <v>2.2599999999999999E-2</v>
      </c>
      <c r="C346">
        <v>0.442</v>
      </c>
      <c r="D346">
        <v>994073.77</v>
      </c>
      <c r="E346">
        <f t="shared" si="15"/>
        <v>9930.0017032840005</v>
      </c>
      <c r="F346">
        <v>9930</v>
      </c>
      <c r="G346">
        <f t="shared" si="16"/>
        <v>-1.7032840005413163E-3</v>
      </c>
      <c r="H346">
        <f t="shared" si="17"/>
        <v>-1.7152910378059582E-7</v>
      </c>
    </row>
    <row r="347" spans="1:8">
      <c r="A347" t="s">
        <v>352</v>
      </c>
      <c r="B347">
        <v>0.68440000000000001</v>
      </c>
      <c r="C347">
        <v>0.61909999999999998</v>
      </c>
      <c r="D347">
        <v>214947.85</v>
      </c>
      <c r="E347">
        <f t="shared" si="15"/>
        <v>91075.992017114011</v>
      </c>
      <c r="F347">
        <v>91075.99</v>
      </c>
      <c r="G347">
        <f t="shared" si="16"/>
        <v>-2.0171140058664605E-3</v>
      </c>
      <c r="H347">
        <f t="shared" si="17"/>
        <v>-2.2147593519065347E-8</v>
      </c>
    </row>
    <row r="348" spans="1:8">
      <c r="A348" t="s">
        <v>353</v>
      </c>
      <c r="B348">
        <v>1.6899999999999998E-2</v>
      </c>
      <c r="C348">
        <v>0.58919999999999995</v>
      </c>
      <c r="D348">
        <v>892357</v>
      </c>
      <c r="E348">
        <f t="shared" si="15"/>
        <v>8885.6269803599971</v>
      </c>
      <c r="F348">
        <v>8885.6299999999992</v>
      </c>
      <c r="G348">
        <f t="shared" si="16"/>
        <v>3.0196400020940928E-3</v>
      </c>
      <c r="H348">
        <f t="shared" si="17"/>
        <v>3.3983409190953181E-7</v>
      </c>
    </row>
    <row r="349" spans="1:8">
      <c r="A349" t="s">
        <v>354</v>
      </c>
      <c r="B349">
        <v>1.7600000000000001E-2</v>
      </c>
      <c r="C349">
        <v>0.35289999999999999</v>
      </c>
      <c r="D349">
        <v>1275807.6499999999</v>
      </c>
      <c r="E349">
        <f t="shared" si="15"/>
        <v>7924.0923464559992</v>
      </c>
      <c r="F349">
        <v>7924.09</v>
      </c>
      <c r="G349">
        <f t="shared" si="16"/>
        <v>-2.3464559990316047E-3</v>
      </c>
      <c r="H349">
        <f t="shared" si="17"/>
        <v>-2.9611677795577847E-7</v>
      </c>
    </row>
    <row r="350" spans="1:8">
      <c r="A350" t="s">
        <v>355</v>
      </c>
      <c r="B350">
        <v>1.6E-2</v>
      </c>
      <c r="C350">
        <v>0.36969999999999997</v>
      </c>
      <c r="D350">
        <v>2136953.36</v>
      </c>
      <c r="E350">
        <f t="shared" si="15"/>
        <v>12640.506515071998</v>
      </c>
      <c r="F350">
        <v>12640.51</v>
      </c>
      <c r="G350">
        <f t="shared" si="16"/>
        <v>3.4849280018534046E-3</v>
      </c>
      <c r="H350">
        <f t="shared" si="17"/>
        <v>2.7569520548248483E-7</v>
      </c>
    </row>
    <row r="351" spans="1:8">
      <c r="A351" t="s">
        <v>356</v>
      </c>
      <c r="B351">
        <v>1.67E-2</v>
      </c>
      <c r="C351">
        <v>0.4289</v>
      </c>
      <c r="D351">
        <v>494303.6</v>
      </c>
      <c r="E351">
        <f t="shared" si="15"/>
        <v>3540.5137944679996</v>
      </c>
      <c r="F351">
        <v>3540.51</v>
      </c>
      <c r="G351">
        <f t="shared" si="16"/>
        <v>-3.7944679993415775E-3</v>
      </c>
      <c r="H351">
        <f t="shared" si="17"/>
        <v>-1.071729213966795E-6</v>
      </c>
    </row>
    <row r="352" spans="1:8">
      <c r="A352" t="s">
        <v>357</v>
      </c>
      <c r="B352">
        <v>2.3599999999999999E-2</v>
      </c>
      <c r="C352">
        <v>0.5353</v>
      </c>
      <c r="D352">
        <v>1127288.51</v>
      </c>
      <c r="E352">
        <f t="shared" si="15"/>
        <v>14241.125929910801</v>
      </c>
      <c r="F352">
        <v>14241.13</v>
      </c>
      <c r="G352">
        <f t="shared" si="16"/>
        <v>4.0700891986489296E-3</v>
      </c>
      <c r="H352">
        <f t="shared" si="17"/>
        <v>2.8579819148121883E-7</v>
      </c>
    </row>
    <row r="353" spans="1:8">
      <c r="A353" t="s">
        <v>358</v>
      </c>
      <c r="B353">
        <v>0.11559999999999999</v>
      </c>
      <c r="C353">
        <v>0.44840000000000002</v>
      </c>
      <c r="D353">
        <v>2407585.48</v>
      </c>
      <c r="E353">
        <f t="shared" si="15"/>
        <v>124797.2896592192</v>
      </c>
      <c r="F353">
        <v>124797.29</v>
      </c>
      <c r="G353">
        <f t="shared" si="16"/>
        <v>3.4078079625032842E-4</v>
      </c>
      <c r="H353">
        <f t="shared" si="17"/>
        <v>2.7306746504698012E-9</v>
      </c>
    </row>
    <row r="354" spans="1:8">
      <c r="A354" t="s">
        <v>359</v>
      </c>
      <c r="B354">
        <v>1.4200000000000001E-2</v>
      </c>
      <c r="C354">
        <v>0.48120000000000002</v>
      </c>
      <c r="D354">
        <v>584852.85</v>
      </c>
      <c r="E354">
        <f t="shared" si="15"/>
        <v>3996.3229181639999</v>
      </c>
      <c r="F354">
        <v>3996.32</v>
      </c>
      <c r="G354">
        <f t="shared" si="16"/>
        <v>-2.9181639997659659E-3</v>
      </c>
      <c r="H354">
        <f t="shared" si="17"/>
        <v>-7.3021279571354791E-7</v>
      </c>
    </row>
    <row r="355" spans="1:8">
      <c r="A355" t="s">
        <v>360</v>
      </c>
      <c r="B355">
        <v>2.1499999999999998E-2</v>
      </c>
      <c r="C355">
        <v>0.46700000000000003</v>
      </c>
      <c r="D355">
        <v>651249.15</v>
      </c>
      <c r="E355">
        <f t="shared" si="15"/>
        <v>6538.8670905749996</v>
      </c>
      <c r="F355">
        <v>6538.87</v>
      </c>
      <c r="G355">
        <f t="shared" si="16"/>
        <v>2.9094250003254274E-3</v>
      </c>
      <c r="H355">
        <f t="shared" si="17"/>
        <v>4.4494308654636466E-7</v>
      </c>
    </row>
    <row r="356" spans="1:8">
      <c r="A356" t="s">
        <v>361</v>
      </c>
      <c r="B356">
        <v>2.4500000000000001E-2</v>
      </c>
      <c r="C356">
        <v>0.63329999999999997</v>
      </c>
      <c r="D356">
        <v>666743.15</v>
      </c>
      <c r="E356">
        <f t="shared" si="15"/>
        <v>10345.0867039275</v>
      </c>
      <c r="F356">
        <v>10345.09</v>
      </c>
      <c r="G356">
        <f t="shared" si="16"/>
        <v>3.2960725002340041E-3</v>
      </c>
      <c r="H356">
        <f t="shared" si="17"/>
        <v>3.1861225955830293E-7</v>
      </c>
    </row>
    <row r="357" spans="1:8">
      <c r="A357" t="s">
        <v>362</v>
      </c>
      <c r="B357">
        <v>2.53E-2</v>
      </c>
      <c r="C357">
        <v>0.3548</v>
      </c>
      <c r="D357">
        <v>1065120.99</v>
      </c>
      <c r="E357">
        <f t="shared" si="15"/>
        <v>9560.9946594756002</v>
      </c>
      <c r="F357">
        <v>9560.99</v>
      </c>
      <c r="G357">
        <f t="shared" si="16"/>
        <v>-4.6594756004196825E-3</v>
      </c>
      <c r="H357">
        <f t="shared" si="17"/>
        <v>-4.8734237776837785E-7</v>
      </c>
    </row>
    <row r="358" spans="1:8">
      <c r="A358" t="s">
        <v>363</v>
      </c>
      <c r="B358">
        <v>1.8499999999999999E-2</v>
      </c>
      <c r="C358">
        <v>0.47449999999999998</v>
      </c>
      <c r="D358">
        <v>361700.08</v>
      </c>
      <c r="E358">
        <f t="shared" si="15"/>
        <v>3175.0937272599999</v>
      </c>
      <c r="F358">
        <v>3175.09</v>
      </c>
      <c r="G358">
        <f t="shared" si="16"/>
        <v>-3.7272599997777434E-3</v>
      </c>
      <c r="H358">
        <f t="shared" si="17"/>
        <v>-1.1739068813097402E-6</v>
      </c>
    </row>
    <row r="359" spans="1:8">
      <c r="A359" t="s">
        <v>364</v>
      </c>
      <c r="B359">
        <v>1.9E-2</v>
      </c>
      <c r="C359">
        <v>0.36990000000000001</v>
      </c>
      <c r="D359">
        <v>480037.04</v>
      </c>
      <c r="E359">
        <f t="shared" si="15"/>
        <v>3373.7483208239996</v>
      </c>
      <c r="F359">
        <v>3373.75</v>
      </c>
      <c r="G359">
        <f t="shared" si="16"/>
        <v>1.6791760003798117E-3</v>
      </c>
      <c r="H359">
        <f t="shared" si="17"/>
        <v>4.9771796973095564E-7</v>
      </c>
    </row>
    <row r="360" spans="1:8">
      <c r="A360" t="s">
        <v>365</v>
      </c>
      <c r="B360">
        <v>2.2800000000000001E-2</v>
      </c>
      <c r="C360">
        <v>0.44030000000000002</v>
      </c>
      <c r="D360">
        <v>575202.16</v>
      </c>
      <c r="E360">
        <f t="shared" si="15"/>
        <v>5774.3624518944007</v>
      </c>
      <c r="F360">
        <v>5774.36</v>
      </c>
      <c r="G360">
        <f t="shared" si="16"/>
        <v>-2.4518944010196719E-3</v>
      </c>
      <c r="H360">
        <f t="shared" si="17"/>
        <v>-4.2461751623031333E-7</v>
      </c>
    </row>
    <row r="361" spans="1:8">
      <c r="A361" t="s">
        <v>366</v>
      </c>
      <c r="B361">
        <v>1.9400000000000001E-2</v>
      </c>
      <c r="C361">
        <v>0.41449999999999998</v>
      </c>
      <c r="D361">
        <v>0</v>
      </c>
      <c r="E361">
        <f t="shared" si="15"/>
        <v>0</v>
      </c>
      <c r="F361">
        <v>0</v>
      </c>
      <c r="G361">
        <f t="shared" si="16"/>
        <v>0</v>
      </c>
      <c r="H361">
        <f t="shared" si="17"/>
        <v>0</v>
      </c>
    </row>
    <row r="362" spans="1:8">
      <c r="A362" t="s">
        <v>367</v>
      </c>
      <c r="B362">
        <v>1.9199999999999998E-2</v>
      </c>
      <c r="C362">
        <v>0.64529999999999998</v>
      </c>
      <c r="D362">
        <v>755830.28</v>
      </c>
      <c r="E362">
        <f t="shared" si="15"/>
        <v>9364.5557699327983</v>
      </c>
      <c r="F362">
        <v>9364.56</v>
      </c>
      <c r="G362">
        <f t="shared" si="16"/>
        <v>4.2300672012061113E-3</v>
      </c>
      <c r="H362">
        <f t="shared" si="17"/>
        <v>4.517101925991303E-7</v>
      </c>
    </row>
    <row r="363" spans="1:8">
      <c r="A363" t="s">
        <v>368</v>
      </c>
      <c r="B363">
        <v>2.4299999999999999E-2</v>
      </c>
      <c r="C363">
        <v>0.4335</v>
      </c>
      <c r="D363">
        <v>1253617.8</v>
      </c>
      <c r="E363">
        <f t="shared" si="15"/>
        <v>13205.672586090001</v>
      </c>
      <c r="F363">
        <v>13205.67</v>
      </c>
      <c r="G363">
        <f t="shared" si="16"/>
        <v>-2.5860900004772702E-3</v>
      </c>
      <c r="H363">
        <f t="shared" si="17"/>
        <v>-1.9583179047161334E-7</v>
      </c>
    </row>
    <row r="364" spans="1:8">
      <c r="A364" t="s">
        <v>369</v>
      </c>
      <c r="B364">
        <v>1.6500000000000001E-2</v>
      </c>
      <c r="C364">
        <v>0.39269999999999999</v>
      </c>
      <c r="D364">
        <v>0</v>
      </c>
      <c r="E364">
        <f t="shared" si="15"/>
        <v>0</v>
      </c>
      <c r="F364">
        <v>0</v>
      </c>
      <c r="G364">
        <f t="shared" si="16"/>
        <v>0</v>
      </c>
      <c r="H364">
        <f t="shared" si="17"/>
        <v>0</v>
      </c>
    </row>
    <row r="365" spans="1:8">
      <c r="A365" t="s">
        <v>370</v>
      </c>
      <c r="B365">
        <v>1.5100000000000001E-2</v>
      </c>
      <c r="C365">
        <v>0.56950000000000001</v>
      </c>
      <c r="D365">
        <v>2139620.83</v>
      </c>
      <c r="E365">
        <f t="shared" si="15"/>
        <v>18399.562346543502</v>
      </c>
      <c r="F365">
        <v>18399.560000000001</v>
      </c>
      <c r="G365">
        <f t="shared" si="16"/>
        <v>-2.3465435006073676E-3</v>
      </c>
      <c r="H365">
        <f t="shared" si="17"/>
        <v>-1.2753258776880357E-7</v>
      </c>
    </row>
    <row r="366" spans="1:8">
      <c r="A366" t="s">
        <v>371</v>
      </c>
      <c r="B366">
        <v>2.1299999999999999E-2</v>
      </c>
      <c r="C366">
        <v>0.61109999999999998</v>
      </c>
      <c r="D366">
        <v>2690373.66</v>
      </c>
      <c r="E366">
        <f t="shared" si="15"/>
        <v>35019.0604192338</v>
      </c>
      <c r="F366">
        <v>35019.06</v>
      </c>
      <c r="G366">
        <f t="shared" si="16"/>
        <v>-4.192338019493036E-4</v>
      </c>
      <c r="H366">
        <f t="shared" si="17"/>
        <v>-1.1971589241667355E-8</v>
      </c>
    </row>
    <row r="367" spans="1:8">
      <c r="A367" t="s">
        <v>372</v>
      </c>
      <c r="B367">
        <v>2.3800000000000002E-2</v>
      </c>
      <c r="C367">
        <v>0.45319999999999999</v>
      </c>
      <c r="D367">
        <v>0</v>
      </c>
      <c r="E367">
        <f t="shared" si="15"/>
        <v>0</v>
      </c>
      <c r="F367">
        <v>0</v>
      </c>
      <c r="G367">
        <f t="shared" si="16"/>
        <v>0</v>
      </c>
      <c r="H367">
        <f t="shared" si="17"/>
        <v>0</v>
      </c>
    </row>
    <row r="368" spans="1:8">
      <c r="A368" t="s">
        <v>373</v>
      </c>
      <c r="B368">
        <v>0.10829999999999999</v>
      </c>
      <c r="C368">
        <v>0.48130000000000001</v>
      </c>
      <c r="D368">
        <v>476807.93</v>
      </c>
      <c r="E368">
        <f t="shared" si="15"/>
        <v>24853.513221584697</v>
      </c>
      <c r="F368">
        <v>24853.51</v>
      </c>
      <c r="G368">
        <f t="shared" si="16"/>
        <v>-3.2215846986218821E-3</v>
      </c>
      <c r="H368">
        <f t="shared" si="17"/>
        <v>-1.2962292644467048E-7</v>
      </c>
    </row>
    <row r="369" spans="1:8">
      <c r="A369" t="s">
        <v>374</v>
      </c>
      <c r="B369">
        <v>2.5999999999999999E-2</v>
      </c>
      <c r="C369">
        <v>0.48280000000000001</v>
      </c>
      <c r="D369">
        <v>632530.98</v>
      </c>
      <c r="E369">
        <f t="shared" si="15"/>
        <v>7940.0348857439994</v>
      </c>
      <c r="F369">
        <v>7940.03</v>
      </c>
      <c r="G369">
        <f t="shared" si="16"/>
        <v>-4.8857439996936591E-3</v>
      </c>
      <c r="H369">
        <f t="shared" si="17"/>
        <v>-6.1533067251555216E-7</v>
      </c>
    </row>
    <row r="370" spans="1:8">
      <c r="A370" t="s">
        <v>375</v>
      </c>
      <c r="B370">
        <v>2.0500000000000001E-2</v>
      </c>
      <c r="C370">
        <v>0.37309999999999999</v>
      </c>
      <c r="D370">
        <v>79084.33</v>
      </c>
      <c r="E370">
        <f t="shared" si="15"/>
        <v>604.88045222150004</v>
      </c>
      <c r="F370">
        <v>604.88</v>
      </c>
      <c r="G370">
        <f t="shared" si="16"/>
        <v>-4.5222150004065043E-4</v>
      </c>
      <c r="H370">
        <f t="shared" si="17"/>
        <v>-7.4762184241609973E-7</v>
      </c>
    </row>
    <row r="371" spans="1:8">
      <c r="A371" t="s">
        <v>376</v>
      </c>
      <c r="B371">
        <v>2.4400000000000002E-2</v>
      </c>
      <c r="C371">
        <v>0.39439999999999997</v>
      </c>
      <c r="D371">
        <v>303252.33</v>
      </c>
      <c r="E371">
        <f t="shared" si="15"/>
        <v>2918.3063424287998</v>
      </c>
      <c r="F371">
        <v>2918.31</v>
      </c>
      <c r="G371">
        <f t="shared" si="16"/>
        <v>3.6575712001649663E-3</v>
      </c>
      <c r="H371">
        <f t="shared" si="17"/>
        <v>1.2533182561705118E-6</v>
      </c>
    </row>
    <row r="372" spans="1:8">
      <c r="A372" t="s">
        <v>377</v>
      </c>
      <c r="B372">
        <v>0.96860000000000002</v>
      </c>
      <c r="C372">
        <v>0.42459999999999998</v>
      </c>
      <c r="D372">
        <v>1153623.8999999999</v>
      </c>
      <c r="E372">
        <f t="shared" si="15"/>
        <v>474448.08651068393</v>
      </c>
      <c r="F372">
        <v>474448.09</v>
      </c>
      <c r="G372">
        <f t="shared" si="16"/>
        <v>3.4893160918727517E-3</v>
      </c>
      <c r="H372">
        <f t="shared" si="17"/>
        <v>7.3544738938094396E-9</v>
      </c>
    </row>
    <row r="373" spans="1:8">
      <c r="A373" t="s">
        <v>378</v>
      </c>
      <c r="B373">
        <v>2.3E-2</v>
      </c>
      <c r="C373">
        <v>0.50719999999999998</v>
      </c>
      <c r="D373">
        <v>817410.85</v>
      </c>
      <c r="E373">
        <f t="shared" si="15"/>
        <v>9535.5880117599991</v>
      </c>
      <c r="F373">
        <v>9535.59</v>
      </c>
      <c r="G373">
        <f t="shared" si="16"/>
        <v>1.988240001082886E-3</v>
      </c>
      <c r="H373">
        <f t="shared" si="17"/>
        <v>2.0850728702501742E-7</v>
      </c>
    </row>
    <row r="374" spans="1:8">
      <c r="A374" t="s">
        <v>379</v>
      </c>
      <c r="B374">
        <v>2.1499999999999998E-2</v>
      </c>
      <c r="C374">
        <v>0.63060000000000005</v>
      </c>
      <c r="D374">
        <v>34883.589999999997</v>
      </c>
      <c r="E374">
        <f t="shared" si="15"/>
        <v>472.94822486099991</v>
      </c>
      <c r="F374">
        <v>472.95</v>
      </c>
      <c r="G374">
        <f t="shared" si="16"/>
        <v>1.7751390000739775E-3</v>
      </c>
      <c r="H374">
        <f t="shared" si="17"/>
        <v>3.7533333334897505E-6</v>
      </c>
    </row>
    <row r="375" spans="1:8">
      <c r="A375" t="s">
        <v>380</v>
      </c>
      <c r="B375">
        <v>2.4199999999999999E-2</v>
      </c>
      <c r="C375">
        <v>0.37730000000000002</v>
      </c>
      <c r="D375">
        <v>564432.81999999995</v>
      </c>
      <c r="E375">
        <f t="shared" si="15"/>
        <v>5153.6441722611999</v>
      </c>
      <c r="F375">
        <v>5153.6400000000003</v>
      </c>
      <c r="G375">
        <f t="shared" si="16"/>
        <v>-4.1722611995282932E-3</v>
      </c>
      <c r="H375">
        <f t="shared" si="17"/>
        <v>-8.0957560084295623E-7</v>
      </c>
    </row>
    <row r="376" spans="1:8">
      <c r="A376" t="s">
        <v>381</v>
      </c>
      <c r="B376">
        <v>1.77E-2</v>
      </c>
      <c r="C376">
        <v>0.5262</v>
      </c>
      <c r="D376">
        <v>1954101.37</v>
      </c>
      <c r="E376">
        <f t="shared" si="15"/>
        <v>18199.992093823803</v>
      </c>
      <c r="F376">
        <v>18199.990000000002</v>
      </c>
      <c r="G376">
        <f t="shared" si="16"/>
        <v>-2.0938238012604415E-3</v>
      </c>
      <c r="H376">
        <f t="shared" si="17"/>
        <v>-1.150453270172369E-7</v>
      </c>
    </row>
    <row r="377" spans="1:8">
      <c r="A377" t="s">
        <v>382</v>
      </c>
      <c r="B377">
        <v>0.15060000000000001</v>
      </c>
      <c r="C377">
        <v>0.35139999999999999</v>
      </c>
      <c r="D377">
        <v>435601.5</v>
      </c>
      <c r="E377">
        <f t="shared" si="15"/>
        <v>23052.397285260002</v>
      </c>
      <c r="F377">
        <v>23052.400000000001</v>
      </c>
      <c r="G377">
        <f t="shared" si="16"/>
        <v>2.7147399996465538E-3</v>
      </c>
      <c r="H377">
        <f t="shared" si="17"/>
        <v>1.1776387706471142E-7</v>
      </c>
    </row>
    <row r="378" spans="1:8">
      <c r="A378" t="s">
        <v>383</v>
      </c>
      <c r="B378">
        <v>2.1499999999999998E-2</v>
      </c>
      <c r="C378">
        <v>0.46860000000000002</v>
      </c>
      <c r="D378">
        <v>609158.09</v>
      </c>
      <c r="E378">
        <f t="shared" si="15"/>
        <v>6137.2068409409994</v>
      </c>
      <c r="F378">
        <v>6137.21</v>
      </c>
      <c r="G378">
        <f t="shared" si="16"/>
        <v>3.1590590006089769E-3</v>
      </c>
      <c r="H378">
        <f t="shared" si="17"/>
        <v>5.1473861911340441E-7</v>
      </c>
    </row>
    <row r="379" spans="1:8">
      <c r="A379" t="s">
        <v>384</v>
      </c>
      <c r="B379">
        <v>1.4999999999999999E-2</v>
      </c>
      <c r="C379">
        <v>0.55810000000000004</v>
      </c>
      <c r="D379">
        <v>1027366.14</v>
      </c>
      <c r="E379">
        <f t="shared" si="15"/>
        <v>8600.5956410100007</v>
      </c>
      <c r="F379">
        <v>8600.6</v>
      </c>
      <c r="G379">
        <f t="shared" si="16"/>
        <v>4.3589899996732129E-3</v>
      </c>
      <c r="H379">
        <f t="shared" si="17"/>
        <v>5.0682394247764261E-7</v>
      </c>
    </row>
    <row r="380" spans="1:8">
      <c r="A380" t="s">
        <v>385</v>
      </c>
      <c r="B380">
        <v>2.4500000000000001E-2</v>
      </c>
      <c r="C380">
        <v>0.37080000000000002</v>
      </c>
      <c r="D380">
        <v>589531.43000000005</v>
      </c>
      <c r="E380">
        <f t="shared" si="15"/>
        <v>5355.6572289780006</v>
      </c>
      <c r="F380">
        <v>5355.66</v>
      </c>
      <c r="G380">
        <f t="shared" si="16"/>
        <v>2.7710219992513885E-3</v>
      </c>
      <c r="H380">
        <f t="shared" si="17"/>
        <v>5.1740065636194021E-7</v>
      </c>
    </row>
    <row r="381" spans="1:8">
      <c r="A381" t="s">
        <v>386</v>
      </c>
      <c r="B381">
        <v>1.9400000000000001E-2</v>
      </c>
      <c r="C381">
        <v>0.57440000000000002</v>
      </c>
      <c r="D381">
        <v>384527.28</v>
      </c>
      <c r="E381">
        <f t="shared" si="15"/>
        <v>4284.9259108608012</v>
      </c>
      <c r="F381">
        <v>4284.93</v>
      </c>
      <c r="G381">
        <f t="shared" si="16"/>
        <v>4.0891391990953707E-3</v>
      </c>
      <c r="H381">
        <f t="shared" si="17"/>
        <v>9.543071179915122E-7</v>
      </c>
    </row>
    <row r="382" spans="1:8">
      <c r="A382" t="s">
        <v>387</v>
      </c>
      <c r="B382">
        <v>1.9599999999999999E-2</v>
      </c>
      <c r="C382">
        <v>0.45129999999999998</v>
      </c>
      <c r="D382">
        <v>919717.07</v>
      </c>
      <c r="E382">
        <f t="shared" si="15"/>
        <v>8135.3389483435985</v>
      </c>
      <c r="F382">
        <v>8135.34</v>
      </c>
      <c r="G382">
        <f t="shared" si="16"/>
        <v>1.0516564016143093E-3</v>
      </c>
      <c r="H382">
        <f t="shared" si="17"/>
        <v>1.2927012289766737E-7</v>
      </c>
    </row>
    <row r="383" spans="1:8">
      <c r="A383" t="s">
        <v>388</v>
      </c>
      <c r="B383">
        <v>2.23E-2</v>
      </c>
      <c r="C383">
        <v>0.46579999999999999</v>
      </c>
      <c r="D383">
        <v>1369919.43</v>
      </c>
      <c r="E383">
        <f t="shared" si="15"/>
        <v>14229.818892016199</v>
      </c>
      <c r="F383">
        <v>14229.82</v>
      </c>
      <c r="G383">
        <f t="shared" si="16"/>
        <v>1.1079838004661724E-3</v>
      </c>
      <c r="H383">
        <f t="shared" si="17"/>
        <v>7.7863514820719616E-8</v>
      </c>
    </row>
    <row r="384" spans="1:8">
      <c r="A384" t="s">
        <v>389</v>
      </c>
      <c r="B384">
        <v>2.41E-2</v>
      </c>
      <c r="C384">
        <v>0.45889999999999997</v>
      </c>
      <c r="D384">
        <v>1232701.75</v>
      </c>
      <c r="E384">
        <f t="shared" si="15"/>
        <v>13633.0526771075</v>
      </c>
      <c r="F384">
        <v>13633.05</v>
      </c>
      <c r="G384">
        <f t="shared" si="16"/>
        <v>-2.6771075008582557E-3</v>
      </c>
      <c r="H384">
        <f t="shared" si="17"/>
        <v>-1.9636893438065992E-7</v>
      </c>
    </row>
    <row r="385" spans="1:8">
      <c r="A385" t="s">
        <v>390</v>
      </c>
      <c r="B385">
        <v>2.52E-2</v>
      </c>
      <c r="C385">
        <v>0.52549999999999997</v>
      </c>
      <c r="D385">
        <v>282955.03999999998</v>
      </c>
      <c r="E385">
        <f t="shared" si="15"/>
        <v>3747.0604127039992</v>
      </c>
      <c r="F385">
        <v>3747.06</v>
      </c>
      <c r="G385">
        <f t="shared" si="16"/>
        <v>-4.1270399924542289E-4</v>
      </c>
      <c r="H385">
        <f t="shared" si="17"/>
        <v>-1.1014075014689461E-7</v>
      </c>
    </row>
    <row r="386" spans="1:8">
      <c r="A386" t="s">
        <v>391</v>
      </c>
      <c r="B386">
        <v>1.9900000000000001E-2</v>
      </c>
      <c r="C386">
        <v>0.62170000000000003</v>
      </c>
      <c r="D386">
        <v>132090.82999999999</v>
      </c>
      <c r="E386">
        <f t="shared" si="15"/>
        <v>1634.2052933189002</v>
      </c>
      <c r="F386">
        <v>1634.21</v>
      </c>
      <c r="G386">
        <f t="shared" si="16"/>
        <v>4.7066810998330766E-3</v>
      </c>
      <c r="H386">
        <f t="shared" si="17"/>
        <v>2.8800956424407369E-6</v>
      </c>
    </row>
    <row r="387" spans="1:8">
      <c r="A387" t="s">
        <v>392</v>
      </c>
      <c r="B387">
        <v>1.72E-2</v>
      </c>
      <c r="C387">
        <v>0.624</v>
      </c>
      <c r="D387">
        <v>313363.27</v>
      </c>
      <c r="E387">
        <f t="shared" ref="E387:E450" si="18">B387*C387*D387</f>
        <v>3363.2653042560005</v>
      </c>
      <c r="F387">
        <v>3363.27</v>
      </c>
      <c r="G387">
        <f t="shared" ref="G387:G450" si="19">F387-E387</f>
        <v>4.695743999491242E-3</v>
      </c>
      <c r="H387">
        <f t="shared" ref="H387:H450" si="20">IFERROR(G387/F387,0)</f>
        <v>1.3961840707083409E-6</v>
      </c>
    </row>
    <row r="388" spans="1:8">
      <c r="A388" t="s">
        <v>393</v>
      </c>
      <c r="B388">
        <v>1.9199999999999998E-2</v>
      </c>
      <c r="C388">
        <v>0.55569999999999997</v>
      </c>
      <c r="D388">
        <v>0</v>
      </c>
      <c r="E388">
        <f t="shared" si="18"/>
        <v>0</v>
      </c>
      <c r="F388">
        <v>0</v>
      </c>
      <c r="G388">
        <f t="shared" si="19"/>
        <v>0</v>
      </c>
      <c r="H388">
        <f t="shared" si="20"/>
        <v>0</v>
      </c>
    </row>
    <row r="389" spans="1:8">
      <c r="A389" t="s">
        <v>394</v>
      </c>
      <c r="B389">
        <v>2.01E-2</v>
      </c>
      <c r="C389">
        <v>0.43559999999999999</v>
      </c>
      <c r="D389">
        <v>717117.42</v>
      </c>
      <c r="E389">
        <f t="shared" si="18"/>
        <v>6278.7645978552</v>
      </c>
      <c r="F389">
        <v>6278.76</v>
      </c>
      <c r="G389">
        <f t="shared" si="19"/>
        <v>-4.5978551997905015E-3</v>
      </c>
      <c r="H389">
        <f t="shared" si="20"/>
        <v>-7.3228713946551565E-7</v>
      </c>
    </row>
    <row r="390" spans="1:8">
      <c r="A390" t="s">
        <v>395</v>
      </c>
      <c r="B390">
        <v>1.67E-2</v>
      </c>
      <c r="C390">
        <v>0.4012</v>
      </c>
      <c r="D390">
        <v>11816.28</v>
      </c>
      <c r="E390">
        <f t="shared" si="18"/>
        <v>79.169548651200003</v>
      </c>
      <c r="F390">
        <v>79.17</v>
      </c>
      <c r="G390">
        <f t="shared" si="19"/>
        <v>4.5134879999864097E-4</v>
      </c>
      <c r="H390">
        <f t="shared" si="20"/>
        <v>5.7010079575425154E-6</v>
      </c>
    </row>
    <row r="391" spans="1:8">
      <c r="A391" t="s">
        <v>396</v>
      </c>
      <c r="B391">
        <v>1.67E-2</v>
      </c>
      <c r="C391">
        <v>0.496</v>
      </c>
      <c r="D391">
        <v>1486358.86</v>
      </c>
      <c r="E391">
        <f t="shared" si="18"/>
        <v>12311.807709151999</v>
      </c>
      <c r="F391">
        <v>12311.81</v>
      </c>
      <c r="G391">
        <f t="shared" si="19"/>
        <v>2.2908480004844023E-3</v>
      </c>
      <c r="H391">
        <f t="shared" si="20"/>
        <v>1.8606914827993629E-7</v>
      </c>
    </row>
    <row r="392" spans="1:8">
      <c r="A392" t="s">
        <v>397</v>
      </c>
      <c r="B392">
        <v>1.4200000000000001E-2</v>
      </c>
      <c r="C392">
        <v>0.46100000000000002</v>
      </c>
      <c r="D392">
        <v>319574.26</v>
      </c>
      <c r="E392">
        <f t="shared" si="18"/>
        <v>2091.9970208120003</v>
      </c>
      <c r="F392">
        <v>2092</v>
      </c>
      <c r="G392">
        <f t="shared" si="19"/>
        <v>2.9791879996992066E-3</v>
      </c>
      <c r="H392">
        <f t="shared" si="20"/>
        <v>1.4240860419212268E-6</v>
      </c>
    </row>
    <row r="393" spans="1:8">
      <c r="A393" t="s">
        <v>398</v>
      </c>
      <c r="B393">
        <v>8.8800000000000004E-2</v>
      </c>
      <c r="C393">
        <v>0.46689999999999998</v>
      </c>
      <c r="D393">
        <v>1455421.78</v>
      </c>
      <c r="E393">
        <f t="shared" si="18"/>
        <v>60342.834902481598</v>
      </c>
      <c r="F393">
        <v>60342.83</v>
      </c>
      <c r="G393">
        <f t="shared" si="19"/>
        <v>-4.9024815962184221E-3</v>
      </c>
      <c r="H393">
        <f t="shared" si="20"/>
        <v>-8.1243812996812078E-8</v>
      </c>
    </row>
    <row r="394" spans="1:8">
      <c r="A394" t="s">
        <v>399</v>
      </c>
      <c r="B394">
        <v>2.24E-2</v>
      </c>
      <c r="C394">
        <v>0.60580000000000001</v>
      </c>
      <c r="D394">
        <v>395672.39</v>
      </c>
      <c r="E394">
        <f t="shared" si="18"/>
        <v>5369.2426785088001</v>
      </c>
      <c r="F394">
        <v>5369.24</v>
      </c>
      <c r="G394">
        <f t="shared" si="19"/>
        <v>-2.6785088002725388E-3</v>
      </c>
      <c r="H394">
        <f t="shared" si="20"/>
        <v>-4.9886181289578019E-7</v>
      </c>
    </row>
    <row r="395" spans="1:8">
      <c r="A395" t="s">
        <v>400</v>
      </c>
      <c r="B395">
        <v>2.1499999999999998E-2</v>
      </c>
      <c r="C395">
        <v>0.54390000000000005</v>
      </c>
      <c r="D395">
        <v>485211.75</v>
      </c>
      <c r="E395">
        <f t="shared" si="18"/>
        <v>5673.9934227375006</v>
      </c>
      <c r="F395">
        <v>5673.99</v>
      </c>
      <c r="G395">
        <f t="shared" si="19"/>
        <v>-3.4227375008413219E-3</v>
      </c>
      <c r="H395">
        <f t="shared" si="20"/>
        <v>-6.032329103225987E-7</v>
      </c>
    </row>
    <row r="396" spans="1:8">
      <c r="A396" t="s">
        <v>401</v>
      </c>
      <c r="B396">
        <v>2.06E-2</v>
      </c>
      <c r="C396">
        <v>0.37680000000000002</v>
      </c>
      <c r="D396">
        <v>1010821.32</v>
      </c>
      <c r="E396">
        <f t="shared" si="18"/>
        <v>7846.0759515456002</v>
      </c>
      <c r="F396">
        <v>7846.08</v>
      </c>
      <c r="G396">
        <f t="shared" si="19"/>
        <v>4.0484543997081346E-3</v>
      </c>
      <c r="H396">
        <f t="shared" si="20"/>
        <v>5.1598433863892982E-7</v>
      </c>
    </row>
    <row r="397" spans="1:8">
      <c r="A397" t="s">
        <v>402</v>
      </c>
      <c r="B397">
        <v>2.01E-2</v>
      </c>
      <c r="C397">
        <v>0.59870000000000001</v>
      </c>
      <c r="D397">
        <v>326573.11</v>
      </c>
      <c r="E397">
        <f t="shared" si="18"/>
        <v>3929.9383512356999</v>
      </c>
      <c r="F397">
        <v>3929.94</v>
      </c>
      <c r="G397">
        <f t="shared" si="19"/>
        <v>1.6487643001710239E-3</v>
      </c>
      <c r="H397">
        <f t="shared" si="20"/>
        <v>4.1953930598712037E-7</v>
      </c>
    </row>
    <row r="398" spans="1:8">
      <c r="A398" t="s">
        <v>403</v>
      </c>
      <c r="B398">
        <v>2.4E-2</v>
      </c>
      <c r="C398">
        <v>0.55230000000000001</v>
      </c>
      <c r="D398">
        <v>653354.78</v>
      </c>
      <c r="E398">
        <f t="shared" si="18"/>
        <v>8660.3482798559999</v>
      </c>
      <c r="F398">
        <v>8660.35</v>
      </c>
      <c r="G398">
        <f t="shared" si="19"/>
        <v>1.7201440005010227E-3</v>
      </c>
      <c r="H398">
        <f t="shared" si="20"/>
        <v>1.9862291945487452E-7</v>
      </c>
    </row>
    <row r="399" spans="1:8">
      <c r="A399" t="s">
        <v>404</v>
      </c>
      <c r="B399">
        <v>1.9300000000000001E-2</v>
      </c>
      <c r="C399">
        <v>0.56859999999999999</v>
      </c>
      <c r="D399">
        <v>480855.4</v>
      </c>
      <c r="E399">
        <f t="shared" si="18"/>
        <v>5276.8975424920009</v>
      </c>
      <c r="F399">
        <v>5276.9</v>
      </c>
      <c r="G399">
        <f t="shared" si="19"/>
        <v>2.45750799876987E-3</v>
      </c>
      <c r="H399">
        <f t="shared" si="20"/>
        <v>4.6571054952147476E-7</v>
      </c>
    </row>
    <row r="400" spans="1:8">
      <c r="A400" t="s">
        <v>405</v>
      </c>
      <c r="B400">
        <v>2.24E-2</v>
      </c>
      <c r="C400">
        <v>0.49390000000000001</v>
      </c>
      <c r="D400">
        <v>159783.95000000001</v>
      </c>
      <c r="E400">
        <f t="shared" si="18"/>
        <v>1767.7473610720001</v>
      </c>
      <c r="F400">
        <v>1767.75</v>
      </c>
      <c r="G400">
        <f t="shared" si="19"/>
        <v>2.6389279998966231E-3</v>
      </c>
      <c r="H400">
        <f t="shared" si="20"/>
        <v>1.4928174232196991E-6</v>
      </c>
    </row>
    <row r="401" spans="1:8">
      <c r="A401" t="s">
        <v>406</v>
      </c>
      <c r="B401">
        <v>0.87270000000000003</v>
      </c>
      <c r="C401">
        <v>0.46200000000000002</v>
      </c>
      <c r="D401">
        <v>1130434.1599999999</v>
      </c>
      <c r="E401">
        <f t="shared" si="18"/>
        <v>455776.80984158401</v>
      </c>
      <c r="F401">
        <v>455776.81</v>
      </c>
      <c r="G401">
        <f t="shared" si="19"/>
        <v>1.5841599088162184E-4</v>
      </c>
      <c r="H401">
        <f t="shared" si="20"/>
        <v>3.4757360928833094E-10</v>
      </c>
    </row>
    <row r="402" spans="1:8">
      <c r="A402" t="s">
        <v>407</v>
      </c>
      <c r="B402">
        <v>8.9899999999999994E-2</v>
      </c>
      <c r="C402">
        <v>0.47570000000000001</v>
      </c>
      <c r="D402">
        <v>1658246.55</v>
      </c>
      <c r="E402">
        <f t="shared" si="18"/>
        <v>70915.626756766505</v>
      </c>
      <c r="F402">
        <v>70915.63</v>
      </c>
      <c r="G402">
        <f t="shared" si="19"/>
        <v>3.2432334992336109E-3</v>
      </c>
      <c r="H402">
        <f t="shared" si="20"/>
        <v>4.57336908553673E-8</v>
      </c>
    </row>
    <row r="403" spans="1:8">
      <c r="A403" t="s">
        <v>408</v>
      </c>
      <c r="B403">
        <v>1.5699999999999999E-2</v>
      </c>
      <c r="C403">
        <v>0.37169999999999997</v>
      </c>
      <c r="D403">
        <v>1496130.42</v>
      </c>
      <c r="E403">
        <f t="shared" si="18"/>
        <v>8730.9533306897993</v>
      </c>
      <c r="F403">
        <v>8730.9500000000007</v>
      </c>
      <c r="G403">
        <f t="shared" si="19"/>
        <v>-3.3306897985312389E-3</v>
      </c>
      <c r="H403">
        <f t="shared" si="20"/>
        <v>-3.8148080089007942E-7</v>
      </c>
    </row>
    <row r="404" spans="1:8">
      <c r="A404" t="s">
        <v>409</v>
      </c>
      <c r="B404">
        <v>1.78E-2</v>
      </c>
      <c r="C404">
        <v>0.35930000000000001</v>
      </c>
      <c r="D404">
        <v>212621.46</v>
      </c>
      <c r="E404">
        <f t="shared" si="18"/>
        <v>1359.8290522883999</v>
      </c>
      <c r="F404">
        <v>1359.83</v>
      </c>
      <c r="G404">
        <f t="shared" si="19"/>
        <v>9.4771160001982935E-4</v>
      </c>
      <c r="H404">
        <f t="shared" si="20"/>
        <v>6.9693388145564478E-7</v>
      </c>
    </row>
    <row r="405" spans="1:8">
      <c r="A405" t="s">
        <v>410</v>
      </c>
      <c r="B405">
        <v>2.1100000000000001E-2</v>
      </c>
      <c r="C405">
        <v>0.55259999999999998</v>
      </c>
      <c r="D405">
        <v>608640.16</v>
      </c>
      <c r="E405">
        <f t="shared" si="18"/>
        <v>7096.6590559775996</v>
      </c>
      <c r="F405">
        <v>7096.66</v>
      </c>
      <c r="G405">
        <f t="shared" si="19"/>
        <v>9.4402240029012319E-4</v>
      </c>
      <c r="H405">
        <f t="shared" si="20"/>
        <v>1.3302347869140176E-7</v>
      </c>
    </row>
    <row r="406" spans="1:8">
      <c r="A406" t="s">
        <v>411</v>
      </c>
      <c r="B406">
        <v>1.67E-2</v>
      </c>
      <c r="C406">
        <v>0.60970000000000002</v>
      </c>
      <c r="D406">
        <v>900015.55</v>
      </c>
      <c r="E406">
        <f t="shared" si="18"/>
        <v>9163.9493299445003</v>
      </c>
      <c r="F406">
        <v>9163.9500000000007</v>
      </c>
      <c r="G406">
        <f t="shared" si="19"/>
        <v>6.7005550044996198E-4</v>
      </c>
      <c r="H406">
        <f t="shared" si="20"/>
        <v>7.3118633389527649E-8</v>
      </c>
    </row>
    <row r="407" spans="1:8">
      <c r="A407" t="s">
        <v>412</v>
      </c>
      <c r="B407">
        <v>1.55E-2</v>
      </c>
      <c r="C407">
        <v>0.39860000000000001</v>
      </c>
      <c r="D407">
        <v>394262.25</v>
      </c>
      <c r="E407">
        <f t="shared" si="18"/>
        <v>2435.8704591750002</v>
      </c>
      <c r="F407">
        <v>2435.87</v>
      </c>
      <c r="G407">
        <f t="shared" si="19"/>
        <v>-4.5917500028735958E-4</v>
      </c>
      <c r="H407">
        <f t="shared" si="20"/>
        <v>-1.8850554433831017E-7</v>
      </c>
    </row>
    <row r="408" spans="1:8">
      <c r="A408" t="s">
        <v>413</v>
      </c>
      <c r="B408">
        <v>1.9699999999999999E-2</v>
      </c>
      <c r="C408">
        <v>0.41420000000000001</v>
      </c>
      <c r="D408">
        <v>497597.15</v>
      </c>
      <c r="E408">
        <f t="shared" si="18"/>
        <v>4060.2633687410002</v>
      </c>
      <c r="F408">
        <v>4060.26</v>
      </c>
      <c r="G408">
        <f t="shared" si="19"/>
        <v>-3.3687410000311502E-3</v>
      </c>
      <c r="H408">
        <f t="shared" si="20"/>
        <v>-8.2968602996634453E-7</v>
      </c>
    </row>
    <row r="409" spans="1:8">
      <c r="A409" t="s">
        <v>414</v>
      </c>
      <c r="B409">
        <v>1.9800000000000002E-2</v>
      </c>
      <c r="C409">
        <v>0.63480000000000003</v>
      </c>
      <c r="D409">
        <v>279137.19</v>
      </c>
      <c r="E409">
        <f t="shared" si="18"/>
        <v>3508.4865065976005</v>
      </c>
      <c r="F409">
        <v>3508.49</v>
      </c>
      <c r="G409">
        <f t="shared" si="19"/>
        <v>3.4934023992718721E-3</v>
      </c>
      <c r="H409">
        <f t="shared" si="20"/>
        <v>9.9569968826243556E-7</v>
      </c>
    </row>
    <row r="410" spans="1:8">
      <c r="A410" t="s">
        <v>415</v>
      </c>
      <c r="B410">
        <v>0.12239999999999999</v>
      </c>
      <c r="C410">
        <v>0.53490000000000004</v>
      </c>
      <c r="D410">
        <v>233936.23</v>
      </c>
      <c r="E410">
        <f t="shared" si="18"/>
        <v>15316.216705864801</v>
      </c>
      <c r="F410">
        <v>15316.22</v>
      </c>
      <c r="G410">
        <f t="shared" si="19"/>
        <v>3.2941351983026834E-3</v>
      </c>
      <c r="H410">
        <f t="shared" si="20"/>
        <v>2.1507494657968373E-7</v>
      </c>
    </row>
    <row r="411" spans="1:8">
      <c r="A411" t="s">
        <v>416</v>
      </c>
      <c r="B411">
        <v>2.1700000000000001E-2</v>
      </c>
      <c r="C411">
        <v>0.41170000000000001</v>
      </c>
      <c r="D411">
        <v>648320.18999999994</v>
      </c>
      <c r="E411">
        <f t="shared" si="18"/>
        <v>5792.0212622390991</v>
      </c>
      <c r="F411">
        <v>5792.02</v>
      </c>
      <c r="G411">
        <f t="shared" si="19"/>
        <v>-1.2622390986507526E-3</v>
      </c>
      <c r="H411">
        <f t="shared" si="20"/>
        <v>-2.1792726866460276E-7</v>
      </c>
    </row>
    <row r="412" spans="1:8">
      <c r="A412" t="s">
        <v>417</v>
      </c>
      <c r="B412">
        <v>1.78E-2</v>
      </c>
      <c r="C412">
        <v>0.39190000000000003</v>
      </c>
      <c r="D412">
        <v>731612.18</v>
      </c>
      <c r="E412">
        <f t="shared" si="18"/>
        <v>5103.5948774876006</v>
      </c>
      <c r="F412">
        <v>5103.59</v>
      </c>
      <c r="G412">
        <f t="shared" si="19"/>
        <v>-4.8774876004245016E-3</v>
      </c>
      <c r="H412">
        <f t="shared" si="20"/>
        <v>-9.556973817302137E-7</v>
      </c>
    </row>
    <row r="413" spans="1:8">
      <c r="A413" t="s">
        <v>418</v>
      </c>
      <c r="B413">
        <v>0.1527</v>
      </c>
      <c r="C413">
        <v>0.37740000000000001</v>
      </c>
      <c r="D413">
        <v>640368.09</v>
      </c>
      <c r="E413">
        <f t="shared" si="18"/>
        <v>36903.7598512482</v>
      </c>
      <c r="F413">
        <v>36903.760000000002</v>
      </c>
      <c r="G413">
        <f t="shared" si="19"/>
        <v>1.487518020439893E-4</v>
      </c>
      <c r="H413">
        <f t="shared" si="20"/>
        <v>4.0308034206809629E-9</v>
      </c>
    </row>
    <row r="414" spans="1:8">
      <c r="A414" t="s">
        <v>419</v>
      </c>
      <c r="B414">
        <v>1.6500000000000001E-2</v>
      </c>
      <c r="C414">
        <v>0.55200000000000005</v>
      </c>
      <c r="D414">
        <v>176653.41</v>
      </c>
      <c r="E414">
        <f t="shared" si="18"/>
        <v>1608.9592582800003</v>
      </c>
      <c r="F414">
        <v>1608.96</v>
      </c>
      <c r="G414">
        <f t="shared" si="19"/>
        <v>7.4171999972350022E-4</v>
      </c>
      <c r="H414">
        <f t="shared" si="20"/>
        <v>4.609934365823266E-7</v>
      </c>
    </row>
    <row r="415" spans="1:8">
      <c r="A415" t="s">
        <v>420</v>
      </c>
      <c r="B415">
        <v>1.9900000000000001E-2</v>
      </c>
      <c r="C415">
        <v>0.56730000000000003</v>
      </c>
      <c r="D415">
        <v>672253.33</v>
      </c>
      <c r="E415">
        <f t="shared" si="18"/>
        <v>7589.2493507690997</v>
      </c>
      <c r="F415">
        <v>7589.25</v>
      </c>
      <c r="G415">
        <f t="shared" si="19"/>
        <v>6.4923090030788444E-4</v>
      </c>
      <c r="H415">
        <f t="shared" si="20"/>
        <v>8.5546121198785708E-8</v>
      </c>
    </row>
    <row r="416" spans="1:8">
      <c r="A416" t="s">
        <v>421</v>
      </c>
      <c r="B416">
        <v>1.89E-2</v>
      </c>
      <c r="C416">
        <v>0.4</v>
      </c>
      <c r="D416">
        <v>45679.92</v>
      </c>
      <c r="E416">
        <f t="shared" si="18"/>
        <v>345.34019520000004</v>
      </c>
      <c r="F416">
        <v>345.34</v>
      </c>
      <c r="G416">
        <f t="shared" si="19"/>
        <v>-1.9520000006423288E-4</v>
      </c>
      <c r="H416">
        <f t="shared" si="20"/>
        <v>-5.6524005346682371E-7</v>
      </c>
    </row>
    <row r="417" spans="1:8">
      <c r="A417" t="s">
        <v>422</v>
      </c>
      <c r="B417">
        <v>9.6000000000000002E-2</v>
      </c>
      <c r="C417">
        <v>0.49070000000000003</v>
      </c>
      <c r="D417">
        <v>586730.81000000006</v>
      </c>
      <c r="E417">
        <f t="shared" si="18"/>
        <v>27639.245612832005</v>
      </c>
      <c r="F417">
        <v>27639.25</v>
      </c>
      <c r="G417">
        <f t="shared" si="19"/>
        <v>4.3871679954463616E-3</v>
      </c>
      <c r="H417">
        <f t="shared" si="20"/>
        <v>1.5872963251341341E-7</v>
      </c>
    </row>
    <row r="418" spans="1:8">
      <c r="A418" t="s">
        <v>423</v>
      </c>
      <c r="B418">
        <v>0.70050000000000001</v>
      </c>
      <c r="C418">
        <v>0.52990000000000004</v>
      </c>
      <c r="D418">
        <v>459826.15</v>
      </c>
      <c r="E418">
        <f t="shared" si="18"/>
        <v>170685.14475794253</v>
      </c>
      <c r="F418">
        <v>170685.14</v>
      </c>
      <c r="G418">
        <f t="shared" si="19"/>
        <v>-4.757942515425384E-3</v>
      </c>
      <c r="H418">
        <f t="shared" si="20"/>
        <v>-2.7875552115581848E-8</v>
      </c>
    </row>
    <row r="419" spans="1:8">
      <c r="A419" t="s">
        <v>424</v>
      </c>
      <c r="B419">
        <v>2.5399999999999999E-2</v>
      </c>
      <c r="C419">
        <v>0.61909999999999998</v>
      </c>
      <c r="D419">
        <v>515225.59999999998</v>
      </c>
      <c r="E419">
        <f t="shared" si="18"/>
        <v>8101.9946915839992</v>
      </c>
      <c r="F419">
        <v>8101.99</v>
      </c>
      <c r="G419">
        <f t="shared" si="19"/>
        <v>-4.6915839993744157E-3</v>
      </c>
      <c r="H419">
        <f t="shared" si="20"/>
        <v>-5.7906563688358237E-7</v>
      </c>
    </row>
    <row r="420" spans="1:8">
      <c r="A420" t="s">
        <v>425</v>
      </c>
      <c r="B420">
        <v>2.46E-2</v>
      </c>
      <c r="C420">
        <v>0.57750000000000001</v>
      </c>
      <c r="D420">
        <v>87619.95</v>
      </c>
      <c r="E420">
        <f t="shared" si="18"/>
        <v>1244.7728196749999</v>
      </c>
      <c r="F420">
        <v>1244.77</v>
      </c>
      <c r="G420">
        <f t="shared" si="19"/>
        <v>-2.8196749999551685E-3</v>
      </c>
      <c r="H420">
        <f t="shared" si="20"/>
        <v>-2.2652176706983366E-6</v>
      </c>
    </row>
    <row r="421" spans="1:8">
      <c r="A421" t="s">
        <v>426</v>
      </c>
      <c r="B421">
        <v>1.4E-2</v>
      </c>
      <c r="C421">
        <v>0.36990000000000001</v>
      </c>
      <c r="D421">
        <v>668562.5</v>
      </c>
      <c r="E421">
        <f t="shared" si="18"/>
        <v>3462.2177624999999</v>
      </c>
      <c r="F421">
        <v>3462.22</v>
      </c>
      <c r="G421">
        <f t="shared" si="19"/>
        <v>2.2374999998646672E-3</v>
      </c>
      <c r="H421">
        <f t="shared" si="20"/>
        <v>6.4626164711216141E-7</v>
      </c>
    </row>
    <row r="422" spans="1:8">
      <c r="A422" t="s">
        <v>427</v>
      </c>
      <c r="B422">
        <v>0.02</v>
      </c>
      <c r="C422">
        <v>0.56730000000000003</v>
      </c>
      <c r="D422">
        <v>1854760.73</v>
      </c>
      <c r="E422">
        <f t="shared" si="18"/>
        <v>21044.115242579999</v>
      </c>
      <c r="F422">
        <v>21044.12</v>
      </c>
      <c r="G422">
        <f t="shared" si="19"/>
        <v>4.7574199998052791E-3</v>
      </c>
      <c r="H422">
        <f t="shared" si="20"/>
        <v>2.2606884962665482E-7</v>
      </c>
    </row>
    <row r="423" spans="1:8">
      <c r="A423" t="s">
        <v>428</v>
      </c>
      <c r="B423">
        <v>1.6799999999999999E-2</v>
      </c>
      <c r="C423">
        <v>0.61370000000000002</v>
      </c>
      <c r="D423">
        <v>411686.45</v>
      </c>
      <c r="E423">
        <f t="shared" si="18"/>
        <v>4244.5531693319999</v>
      </c>
      <c r="F423">
        <v>4244.55</v>
      </c>
      <c r="G423">
        <f t="shared" si="19"/>
        <v>-3.1693319997430081E-3</v>
      </c>
      <c r="H423">
        <f t="shared" si="20"/>
        <v>-7.4668268715011199E-7</v>
      </c>
    </row>
    <row r="424" spans="1:8">
      <c r="A424" t="s">
        <v>429</v>
      </c>
      <c r="B424">
        <v>2.47E-2</v>
      </c>
      <c r="C424">
        <v>0.44900000000000001</v>
      </c>
      <c r="D424">
        <v>1959753.16</v>
      </c>
      <c r="E424">
        <f t="shared" si="18"/>
        <v>21734.250470348001</v>
      </c>
      <c r="F424">
        <v>21734.25</v>
      </c>
      <c r="G424">
        <f t="shared" si="19"/>
        <v>-4.7034800081746653E-4</v>
      </c>
      <c r="H424">
        <f t="shared" si="20"/>
        <v>-2.164086641211298E-8</v>
      </c>
    </row>
    <row r="425" spans="1:8">
      <c r="A425" t="s">
        <v>430</v>
      </c>
      <c r="B425">
        <v>1.83E-2</v>
      </c>
      <c r="C425">
        <v>0.50270000000000004</v>
      </c>
      <c r="D425">
        <v>1378961.26</v>
      </c>
      <c r="E425">
        <f t="shared" si="18"/>
        <v>12685.630004856603</v>
      </c>
      <c r="F425">
        <v>12685.63</v>
      </c>
      <c r="G425">
        <f t="shared" si="19"/>
        <v>-4.8566034820396453E-6</v>
      </c>
      <c r="H425">
        <f t="shared" si="20"/>
        <v>-3.8284290823866419E-10</v>
      </c>
    </row>
    <row r="426" spans="1:8">
      <c r="A426" t="s">
        <v>431</v>
      </c>
      <c r="B426">
        <v>1.6299999999999999E-2</v>
      </c>
      <c r="C426">
        <v>0.36980000000000002</v>
      </c>
      <c r="D426">
        <v>104387.46</v>
      </c>
      <c r="E426">
        <f t="shared" si="18"/>
        <v>629.22046814039993</v>
      </c>
      <c r="F426">
        <v>629.22</v>
      </c>
      <c r="G426">
        <f t="shared" si="19"/>
        <v>-4.6814039990294987E-4</v>
      </c>
      <c r="H426">
        <f t="shared" si="20"/>
        <v>-7.4400114411962404E-7</v>
      </c>
    </row>
    <row r="427" spans="1:8">
      <c r="A427" t="s">
        <v>432</v>
      </c>
      <c r="B427">
        <v>2.2499999999999999E-2</v>
      </c>
      <c r="C427">
        <v>0.59009999999999996</v>
      </c>
      <c r="D427">
        <v>779242.32</v>
      </c>
      <c r="E427">
        <f t="shared" si="18"/>
        <v>10346.195093219998</v>
      </c>
      <c r="F427">
        <v>10346.200000000001</v>
      </c>
      <c r="G427">
        <f t="shared" si="19"/>
        <v>4.9067800027842168E-3</v>
      </c>
      <c r="H427">
        <f t="shared" si="20"/>
        <v>4.7425914855543258E-7</v>
      </c>
    </row>
    <row r="428" spans="1:8">
      <c r="A428" t="s">
        <v>433</v>
      </c>
      <c r="B428">
        <v>0.82410000000000005</v>
      </c>
      <c r="C428">
        <v>0.44009999999999999</v>
      </c>
      <c r="D428">
        <v>1507806.51</v>
      </c>
      <c r="E428">
        <f t="shared" si="18"/>
        <v>546860.93008652912</v>
      </c>
      <c r="F428">
        <v>546860.93000000005</v>
      </c>
      <c r="G428">
        <f t="shared" si="19"/>
        <v>-8.6529063992202282E-5</v>
      </c>
      <c r="H428">
        <f t="shared" si="20"/>
        <v>-1.5822864506375008E-10</v>
      </c>
    </row>
    <row r="429" spans="1:8">
      <c r="A429" t="s">
        <v>434</v>
      </c>
      <c r="B429">
        <v>2.07E-2</v>
      </c>
      <c r="C429">
        <v>0.4486</v>
      </c>
      <c r="D429">
        <v>151652.24</v>
      </c>
      <c r="E429">
        <f t="shared" si="18"/>
        <v>1408.2457336847997</v>
      </c>
      <c r="F429">
        <v>1408.25</v>
      </c>
      <c r="G429">
        <f t="shared" si="19"/>
        <v>4.2663152003115101E-3</v>
      </c>
      <c r="H429">
        <f t="shared" si="20"/>
        <v>3.029515498179663E-6</v>
      </c>
    </row>
    <row r="430" spans="1:8">
      <c r="A430" t="s">
        <v>435</v>
      </c>
      <c r="B430">
        <v>1.54E-2</v>
      </c>
      <c r="C430">
        <v>0.4854</v>
      </c>
      <c r="D430">
        <v>245149.25</v>
      </c>
      <c r="E430">
        <f t="shared" si="18"/>
        <v>1832.5298676299999</v>
      </c>
      <c r="F430">
        <v>1832.53</v>
      </c>
      <c r="G430">
        <f t="shared" si="19"/>
        <v>1.3237000007393362E-4</v>
      </c>
      <c r="H430">
        <f t="shared" si="20"/>
        <v>7.2233469615195175E-8</v>
      </c>
    </row>
    <row r="431" spans="1:8">
      <c r="A431" t="s">
        <v>436</v>
      </c>
      <c r="B431">
        <v>0.98950000000000005</v>
      </c>
      <c r="C431">
        <v>0.57430000000000003</v>
      </c>
      <c r="D431">
        <v>412345.98</v>
      </c>
      <c r="E431">
        <f t="shared" si="18"/>
        <v>234323.78820270303</v>
      </c>
      <c r="F431">
        <v>234323.79</v>
      </c>
      <c r="G431">
        <f t="shared" si="19"/>
        <v>1.7972969799302518E-3</v>
      </c>
      <c r="H431">
        <f t="shared" si="20"/>
        <v>7.670143009936174E-9</v>
      </c>
    </row>
    <row r="432" spans="1:8">
      <c r="A432" t="s">
        <v>437</v>
      </c>
      <c r="B432">
        <v>1.54E-2</v>
      </c>
      <c r="C432">
        <v>0.59319999999999995</v>
      </c>
      <c r="D432">
        <v>776323.7</v>
      </c>
      <c r="E432">
        <f t="shared" si="18"/>
        <v>7091.9343701359985</v>
      </c>
      <c r="F432">
        <v>7091.93</v>
      </c>
      <c r="G432">
        <f t="shared" si="19"/>
        <v>-4.3701359982151189E-3</v>
      </c>
      <c r="H432">
        <f t="shared" si="20"/>
        <v>-6.1621251171615046E-7</v>
      </c>
    </row>
    <row r="433" spans="1:8">
      <c r="A433" t="s">
        <v>438</v>
      </c>
      <c r="B433">
        <v>0.75729999999999997</v>
      </c>
      <c r="C433">
        <v>0.3871</v>
      </c>
      <c r="D433">
        <v>306947.44</v>
      </c>
      <c r="E433">
        <f t="shared" si="18"/>
        <v>89981.896802375195</v>
      </c>
      <c r="F433">
        <v>89981.9</v>
      </c>
      <c r="G433">
        <f t="shared" si="19"/>
        <v>3.1976247992133722E-3</v>
      </c>
      <c r="H433">
        <f t="shared" si="20"/>
        <v>3.5536311182730885E-8</v>
      </c>
    </row>
    <row r="434" spans="1:8">
      <c r="A434" t="s">
        <v>439</v>
      </c>
      <c r="B434">
        <v>0.1081</v>
      </c>
      <c r="C434">
        <v>0.40550000000000003</v>
      </c>
      <c r="D434">
        <v>0</v>
      </c>
      <c r="E434">
        <f t="shared" si="18"/>
        <v>0</v>
      </c>
      <c r="F434">
        <v>0</v>
      </c>
      <c r="G434">
        <f t="shared" si="19"/>
        <v>0</v>
      </c>
      <c r="H434">
        <f t="shared" si="20"/>
        <v>0</v>
      </c>
    </row>
    <row r="435" spans="1:8">
      <c r="A435" t="s">
        <v>440</v>
      </c>
      <c r="B435">
        <v>0.80179999999999996</v>
      </c>
      <c r="C435">
        <v>0.4073</v>
      </c>
      <c r="D435">
        <v>1287060.25</v>
      </c>
      <c r="E435">
        <f t="shared" si="18"/>
        <v>420319.30721168499</v>
      </c>
      <c r="F435">
        <v>420319.31</v>
      </c>
      <c r="G435">
        <f t="shared" si="19"/>
        <v>2.788315003272146E-3</v>
      </c>
      <c r="H435">
        <f t="shared" si="20"/>
        <v>6.6338018190792754E-9</v>
      </c>
    </row>
    <row r="436" spans="1:8">
      <c r="A436" t="s">
        <v>441</v>
      </c>
      <c r="B436">
        <v>1.9300000000000001E-2</v>
      </c>
      <c r="C436">
        <v>0.41049999999999998</v>
      </c>
      <c r="D436">
        <v>59312.59</v>
      </c>
      <c r="E436">
        <f t="shared" si="18"/>
        <v>469.91289116349998</v>
      </c>
      <c r="F436">
        <v>469.91</v>
      </c>
      <c r="G436">
        <f t="shared" si="19"/>
        <v>-2.8911634999531088E-3</v>
      </c>
      <c r="H436">
        <f t="shared" si="20"/>
        <v>-6.1525898575325247E-6</v>
      </c>
    </row>
    <row r="437" spans="1:8">
      <c r="A437" t="s">
        <v>442</v>
      </c>
      <c r="B437">
        <v>2.23E-2</v>
      </c>
      <c r="C437">
        <v>0.43269999999999997</v>
      </c>
      <c r="D437">
        <v>319454.63</v>
      </c>
      <c r="E437">
        <f t="shared" si="18"/>
        <v>3082.4848103423001</v>
      </c>
      <c r="F437">
        <v>3082.48</v>
      </c>
      <c r="G437">
        <f t="shared" si="19"/>
        <v>-4.8103423000611656E-3</v>
      </c>
      <c r="H437">
        <f t="shared" si="20"/>
        <v>-1.560542907029783E-6</v>
      </c>
    </row>
    <row r="438" spans="1:8">
      <c r="A438" t="s">
        <v>443</v>
      </c>
      <c r="B438">
        <v>2.1499999999999998E-2</v>
      </c>
      <c r="C438">
        <v>0.64319999999999999</v>
      </c>
      <c r="D438">
        <v>186187.15</v>
      </c>
      <c r="E438">
        <f t="shared" si="18"/>
        <v>2574.7448599199997</v>
      </c>
      <c r="F438">
        <v>2574.7399999999998</v>
      </c>
      <c r="G438">
        <f t="shared" si="19"/>
        <v>-4.8599199999443954E-3</v>
      </c>
      <c r="H438">
        <f t="shared" si="20"/>
        <v>-1.8875381591711769E-6</v>
      </c>
    </row>
    <row r="439" spans="1:8">
      <c r="A439" t="s">
        <v>444</v>
      </c>
      <c r="B439">
        <v>2.23E-2</v>
      </c>
      <c r="C439">
        <v>0.38100000000000001</v>
      </c>
      <c r="D439">
        <v>533952.80000000005</v>
      </c>
      <c r="E439">
        <f t="shared" si="18"/>
        <v>4536.6231746400008</v>
      </c>
      <c r="F439">
        <v>4536.62</v>
      </c>
      <c r="G439">
        <f t="shared" si="19"/>
        <v>-3.1746400009069475E-3</v>
      </c>
      <c r="H439">
        <f t="shared" si="20"/>
        <v>-6.9978089434577896E-7</v>
      </c>
    </row>
    <row r="440" spans="1:8">
      <c r="A440" t="s">
        <v>445</v>
      </c>
      <c r="B440">
        <v>1.4500000000000001E-2</v>
      </c>
      <c r="C440">
        <v>0.55669999999999997</v>
      </c>
      <c r="D440">
        <v>105102.34</v>
      </c>
      <c r="E440">
        <f t="shared" si="18"/>
        <v>848.40185383100004</v>
      </c>
      <c r="F440">
        <v>848.4</v>
      </c>
      <c r="G440">
        <f t="shared" si="19"/>
        <v>-1.8538310000622005E-3</v>
      </c>
      <c r="H440">
        <f t="shared" si="20"/>
        <v>-2.1850907591492227E-6</v>
      </c>
    </row>
    <row r="441" spans="1:8">
      <c r="A441" t="s">
        <v>446</v>
      </c>
      <c r="B441">
        <v>2.1899999999999999E-2</v>
      </c>
      <c r="C441">
        <v>0.41770000000000002</v>
      </c>
      <c r="D441">
        <v>183754.66</v>
      </c>
      <c r="E441">
        <f t="shared" si="18"/>
        <v>1680.9196404558002</v>
      </c>
      <c r="F441">
        <v>1680.92</v>
      </c>
      <c r="G441">
        <f t="shared" si="19"/>
        <v>3.5954419990957831E-4</v>
      </c>
      <c r="H441">
        <f t="shared" si="20"/>
        <v>2.1389727048852908E-7</v>
      </c>
    </row>
    <row r="442" spans="1:8">
      <c r="A442" t="s">
        <v>447</v>
      </c>
      <c r="B442">
        <v>2.3900000000000001E-2</v>
      </c>
      <c r="C442">
        <v>0.52829999999999999</v>
      </c>
      <c r="D442">
        <v>501131.38</v>
      </c>
      <c r="E442">
        <f t="shared" si="18"/>
        <v>6327.4702224905996</v>
      </c>
      <c r="F442">
        <v>6327.47</v>
      </c>
      <c r="G442">
        <f t="shared" si="19"/>
        <v>-2.2249059929890791E-4</v>
      </c>
      <c r="H442">
        <f t="shared" si="20"/>
        <v>-3.5162647835376211E-8</v>
      </c>
    </row>
    <row r="443" spans="1:8">
      <c r="A443" t="s">
        <v>448</v>
      </c>
      <c r="B443">
        <v>2.3599999999999999E-2</v>
      </c>
      <c r="C443">
        <v>0.42209999999999998</v>
      </c>
      <c r="D443">
        <v>222092.79</v>
      </c>
      <c r="E443">
        <f t="shared" si="18"/>
        <v>2212.3906531523999</v>
      </c>
      <c r="F443">
        <v>2212.39</v>
      </c>
      <c r="G443">
        <f t="shared" si="19"/>
        <v>-6.5315239999108599E-4</v>
      </c>
      <c r="H443">
        <f t="shared" si="20"/>
        <v>-2.9522480213302628E-7</v>
      </c>
    </row>
    <row r="444" spans="1:8">
      <c r="A444" t="s">
        <v>449</v>
      </c>
      <c r="B444">
        <v>1.44E-2</v>
      </c>
      <c r="C444">
        <v>0.5796</v>
      </c>
      <c r="D444">
        <v>1565702.1</v>
      </c>
      <c r="E444">
        <f t="shared" si="18"/>
        <v>13067.725495103999</v>
      </c>
      <c r="F444">
        <v>13067.73</v>
      </c>
      <c r="G444">
        <f t="shared" si="19"/>
        <v>4.5048960000713123E-3</v>
      </c>
      <c r="H444">
        <f t="shared" si="20"/>
        <v>3.447343953442038E-7</v>
      </c>
    </row>
    <row r="445" spans="1:8">
      <c r="A445" t="s">
        <v>450</v>
      </c>
      <c r="B445">
        <v>1.7399999999999999E-2</v>
      </c>
      <c r="C445">
        <v>0.50670000000000004</v>
      </c>
      <c r="D445">
        <v>1504577.39</v>
      </c>
      <c r="E445">
        <f t="shared" si="18"/>
        <v>13265.226925126199</v>
      </c>
      <c r="F445">
        <v>13265.23</v>
      </c>
      <c r="G445">
        <f t="shared" si="19"/>
        <v>3.0748738008696819E-3</v>
      </c>
      <c r="H445">
        <f t="shared" si="20"/>
        <v>2.3179950900735848E-7</v>
      </c>
    </row>
    <row r="446" spans="1:8">
      <c r="A446" t="s">
        <v>451</v>
      </c>
      <c r="B446">
        <v>1.84E-2</v>
      </c>
      <c r="C446">
        <v>0.59650000000000003</v>
      </c>
      <c r="D446">
        <v>393474.15</v>
      </c>
      <c r="E446">
        <f t="shared" si="18"/>
        <v>4318.6148807400004</v>
      </c>
      <c r="F446">
        <v>4318.6099999999997</v>
      </c>
      <c r="G446">
        <f t="shared" si="19"/>
        <v>-4.8807400007717661E-3</v>
      </c>
      <c r="H446">
        <f t="shared" si="20"/>
        <v>-1.1301645670185006E-6</v>
      </c>
    </row>
    <row r="447" spans="1:8">
      <c r="A447" t="s">
        <v>452</v>
      </c>
      <c r="B447">
        <v>0.1234</v>
      </c>
      <c r="C447">
        <v>0.49209999999999998</v>
      </c>
      <c r="D447">
        <v>158156.81</v>
      </c>
      <c r="E447">
        <f t="shared" si="18"/>
        <v>9604.0944292034001</v>
      </c>
      <c r="F447">
        <v>9604.09</v>
      </c>
      <c r="G447">
        <f t="shared" si="19"/>
        <v>-4.4292033999226987E-3</v>
      </c>
      <c r="H447">
        <f t="shared" si="20"/>
        <v>-4.6117887274303952E-7</v>
      </c>
    </row>
    <row r="448" spans="1:8">
      <c r="A448" t="s">
        <v>453</v>
      </c>
      <c r="B448">
        <v>1.95E-2</v>
      </c>
      <c r="C448">
        <v>0.36220000000000002</v>
      </c>
      <c r="D448">
        <v>237032</v>
      </c>
      <c r="E448">
        <f t="shared" si="18"/>
        <v>1674.1333128000001</v>
      </c>
      <c r="F448">
        <v>1674.13</v>
      </c>
      <c r="G448">
        <f t="shared" si="19"/>
        <v>-3.3128000000033353E-3</v>
      </c>
      <c r="H448">
        <f t="shared" si="20"/>
        <v>-1.9788188491953043E-6</v>
      </c>
    </row>
    <row r="449" spans="1:8">
      <c r="A449" t="s">
        <v>454</v>
      </c>
      <c r="B449">
        <v>2.2700000000000001E-2</v>
      </c>
      <c r="C449">
        <v>0.39029999999999998</v>
      </c>
      <c r="D449">
        <v>433464.82</v>
      </c>
      <c r="E449">
        <f t="shared" si="18"/>
        <v>3840.4159468842004</v>
      </c>
      <c r="F449">
        <v>3840.42</v>
      </c>
      <c r="G449">
        <f t="shared" si="19"/>
        <v>4.0531157997065748E-3</v>
      </c>
      <c r="H449">
        <f t="shared" si="20"/>
        <v>1.0553834736061615E-6</v>
      </c>
    </row>
    <row r="450" spans="1:8">
      <c r="A450" t="s">
        <v>455</v>
      </c>
      <c r="B450">
        <v>2.1100000000000001E-2</v>
      </c>
      <c r="C450">
        <v>0.5393</v>
      </c>
      <c r="D450">
        <v>755729.29</v>
      </c>
      <c r="E450">
        <f t="shared" si="18"/>
        <v>8599.6174086467017</v>
      </c>
      <c r="F450">
        <v>8599.6200000000008</v>
      </c>
      <c r="G450">
        <f t="shared" si="19"/>
        <v>2.5913532990671229E-3</v>
      </c>
      <c r="H450">
        <f t="shared" si="20"/>
        <v>3.0133346578885145E-7</v>
      </c>
    </row>
    <row r="451" spans="1:8">
      <c r="A451" t="s">
        <v>456</v>
      </c>
      <c r="B451">
        <v>1.7999999999999999E-2</v>
      </c>
      <c r="C451">
        <v>0.54110000000000003</v>
      </c>
      <c r="D451">
        <v>315776.83</v>
      </c>
      <c r="E451">
        <f t="shared" ref="E451:E501" si="21">B451*C451*D451</f>
        <v>3075.6031688339999</v>
      </c>
      <c r="F451">
        <v>3075.6</v>
      </c>
      <c r="G451">
        <f t="shared" ref="G451:G501" si="22">F451-E451</f>
        <v>-3.1688340000073367E-3</v>
      </c>
      <c r="H451">
        <f t="shared" ref="H451:H501" si="23">IFERROR(G451/F451,0)</f>
        <v>-1.0303140850589599E-6</v>
      </c>
    </row>
    <row r="452" spans="1:8">
      <c r="A452" t="s">
        <v>457</v>
      </c>
      <c r="B452">
        <v>2.1299999999999999E-2</v>
      </c>
      <c r="C452">
        <v>0.50180000000000002</v>
      </c>
      <c r="D452">
        <v>689585.73</v>
      </c>
      <c r="E452">
        <f t="shared" si="21"/>
        <v>7370.5267413882002</v>
      </c>
      <c r="F452">
        <v>7370.53</v>
      </c>
      <c r="G452">
        <f t="shared" si="22"/>
        <v>3.2586117995379027E-3</v>
      </c>
      <c r="H452">
        <f t="shared" si="23"/>
        <v>4.4211363355659671E-7</v>
      </c>
    </row>
    <row r="453" spans="1:8">
      <c r="A453" t="s">
        <v>458</v>
      </c>
      <c r="B453">
        <v>9.5100000000000004E-2</v>
      </c>
      <c r="C453">
        <v>0.48670000000000002</v>
      </c>
      <c r="D453">
        <v>518587.28</v>
      </c>
      <c r="E453">
        <f t="shared" si="21"/>
        <v>24002.900414637606</v>
      </c>
      <c r="F453">
        <v>24002.9</v>
      </c>
      <c r="G453">
        <f t="shared" si="22"/>
        <v>-4.1463760499027558E-4</v>
      </c>
      <c r="H453">
        <f t="shared" si="23"/>
        <v>-1.72744795416502E-8</v>
      </c>
    </row>
    <row r="454" spans="1:8">
      <c r="A454" t="s">
        <v>459</v>
      </c>
      <c r="B454">
        <v>1.89E-2</v>
      </c>
      <c r="C454">
        <v>0.41360000000000002</v>
      </c>
      <c r="D454">
        <v>545157.52</v>
      </c>
      <c r="E454">
        <f t="shared" si="21"/>
        <v>4261.5181401408008</v>
      </c>
      <c r="F454">
        <v>4261.5200000000004</v>
      </c>
      <c r="G454">
        <f t="shared" si="22"/>
        <v>1.8598591996124014E-3</v>
      </c>
      <c r="H454">
        <f t="shared" si="23"/>
        <v>4.3643094473624462E-7</v>
      </c>
    </row>
    <row r="455" spans="1:8">
      <c r="A455" t="s">
        <v>460</v>
      </c>
      <c r="B455">
        <v>1.5100000000000001E-2</v>
      </c>
      <c r="C455">
        <v>0.50670000000000004</v>
      </c>
      <c r="D455">
        <v>207671.29</v>
      </c>
      <c r="E455">
        <f t="shared" si="21"/>
        <v>1588.9283439093001</v>
      </c>
      <c r="F455">
        <v>1588.93</v>
      </c>
      <c r="G455">
        <f t="shared" si="22"/>
        <v>1.6560906999529834E-3</v>
      </c>
      <c r="H455">
        <f t="shared" si="23"/>
        <v>1.0422678783539762E-6</v>
      </c>
    </row>
    <row r="456" spans="1:8">
      <c r="A456" t="s">
        <v>461</v>
      </c>
      <c r="B456">
        <v>2.1700000000000001E-2</v>
      </c>
      <c r="C456">
        <v>0.4022</v>
      </c>
      <c r="D456">
        <v>1374919.29</v>
      </c>
      <c r="E456">
        <f t="shared" si="21"/>
        <v>11999.9380841046</v>
      </c>
      <c r="F456">
        <v>11999.94</v>
      </c>
      <c r="G456">
        <f t="shared" si="22"/>
        <v>1.9158954000886297E-3</v>
      </c>
      <c r="H456">
        <f t="shared" si="23"/>
        <v>1.5965874830112731E-7</v>
      </c>
    </row>
    <row r="457" spans="1:8">
      <c r="A457" t="s">
        <v>462</v>
      </c>
      <c r="B457">
        <v>1.9199999999999998E-2</v>
      </c>
      <c r="C457">
        <v>0.42980000000000002</v>
      </c>
      <c r="D457">
        <v>809209.5</v>
      </c>
      <c r="E457">
        <f t="shared" si="21"/>
        <v>6677.72626752</v>
      </c>
      <c r="F457">
        <v>6677.73</v>
      </c>
      <c r="G457">
        <f t="shared" si="22"/>
        <v>3.7324799995985813E-3</v>
      </c>
      <c r="H457">
        <f t="shared" si="23"/>
        <v>5.5894443165545504E-7</v>
      </c>
    </row>
    <row r="458" spans="1:8">
      <c r="A458" t="s">
        <v>463</v>
      </c>
      <c r="B458">
        <v>2.3E-2</v>
      </c>
      <c r="C458">
        <v>0.3503</v>
      </c>
      <c r="D458">
        <v>1251465.08</v>
      </c>
      <c r="E458">
        <f t="shared" si="21"/>
        <v>10082.929003052001</v>
      </c>
      <c r="F458">
        <v>10082.93</v>
      </c>
      <c r="G458">
        <f t="shared" si="22"/>
        <v>9.9694799973804038E-4</v>
      </c>
      <c r="H458">
        <f t="shared" si="23"/>
        <v>9.8874831000318391E-8</v>
      </c>
    </row>
    <row r="459" spans="1:8">
      <c r="A459" t="s">
        <v>464</v>
      </c>
      <c r="B459">
        <v>1.46E-2</v>
      </c>
      <c r="C459">
        <v>0.46050000000000002</v>
      </c>
      <c r="D459">
        <v>336272.88</v>
      </c>
      <c r="E459">
        <f t="shared" si="21"/>
        <v>2260.8634541040001</v>
      </c>
      <c r="F459">
        <v>2260.86</v>
      </c>
      <c r="G459">
        <f t="shared" si="22"/>
        <v>-3.4541039999567147E-3</v>
      </c>
      <c r="H459">
        <f t="shared" si="23"/>
        <v>-1.5277832329099168E-6</v>
      </c>
    </row>
    <row r="460" spans="1:8">
      <c r="A460" t="s">
        <v>465</v>
      </c>
      <c r="B460">
        <v>1.6400000000000001E-2</v>
      </c>
      <c r="C460">
        <v>0.41959999999999997</v>
      </c>
      <c r="D460">
        <v>676809.36</v>
      </c>
      <c r="E460">
        <f t="shared" si="21"/>
        <v>4657.4230022783995</v>
      </c>
      <c r="F460">
        <v>4657.42</v>
      </c>
      <c r="G460">
        <f t="shared" si="22"/>
        <v>-3.002278399435454E-3</v>
      </c>
      <c r="H460">
        <f t="shared" si="23"/>
        <v>-6.4462264503425806E-7</v>
      </c>
    </row>
    <row r="461" spans="1:8">
      <c r="A461" t="s">
        <v>466</v>
      </c>
      <c r="B461">
        <v>0.75160000000000005</v>
      </c>
      <c r="C461">
        <v>0.52780000000000005</v>
      </c>
      <c r="D461">
        <v>295513.26</v>
      </c>
      <c r="E461">
        <f t="shared" si="21"/>
        <v>117228.47900880482</v>
      </c>
      <c r="F461">
        <v>117228.48</v>
      </c>
      <c r="G461">
        <f t="shared" si="22"/>
        <v>9.9119517835788429E-4</v>
      </c>
      <c r="H461">
        <f t="shared" si="23"/>
        <v>8.4552420909823645E-9</v>
      </c>
    </row>
    <row r="462" spans="1:8">
      <c r="A462" t="s">
        <v>467</v>
      </c>
      <c r="B462">
        <v>9.64E-2</v>
      </c>
      <c r="C462">
        <v>0.51380000000000003</v>
      </c>
      <c r="D462">
        <v>104337.7</v>
      </c>
      <c r="E462">
        <f t="shared" si="21"/>
        <v>5167.8796690640002</v>
      </c>
      <c r="F462">
        <v>5167.88</v>
      </c>
      <c r="G462">
        <f t="shared" si="22"/>
        <v>3.3093599995481782E-4</v>
      </c>
      <c r="H462">
        <f t="shared" si="23"/>
        <v>6.4037090635776725E-8</v>
      </c>
    </row>
    <row r="463" spans="1:8">
      <c r="A463" t="s">
        <v>468</v>
      </c>
      <c r="B463">
        <v>2.4299999999999999E-2</v>
      </c>
      <c r="C463">
        <v>0.35460000000000003</v>
      </c>
      <c r="D463">
        <v>370415.13</v>
      </c>
      <c r="E463">
        <f t="shared" si="21"/>
        <v>3191.7856838814005</v>
      </c>
      <c r="F463">
        <v>3191.79</v>
      </c>
      <c r="G463">
        <f t="shared" si="22"/>
        <v>4.3161185994904372E-3</v>
      </c>
      <c r="H463">
        <f t="shared" si="23"/>
        <v>1.3522564452831913E-6</v>
      </c>
    </row>
    <row r="464" spans="1:8">
      <c r="A464" t="s">
        <v>469</v>
      </c>
      <c r="B464">
        <v>1.9199999999999998E-2</v>
      </c>
      <c r="C464">
        <v>0.53269999999999995</v>
      </c>
      <c r="D464">
        <v>282608.65999999997</v>
      </c>
      <c r="E464">
        <f t="shared" si="21"/>
        <v>2890.4761570943992</v>
      </c>
      <c r="F464">
        <v>2890.48</v>
      </c>
      <c r="G464">
        <f t="shared" si="22"/>
        <v>3.8429056007771578E-3</v>
      </c>
      <c r="H464">
        <f t="shared" si="23"/>
        <v>1.3295043040523228E-6</v>
      </c>
    </row>
    <row r="465" spans="1:8">
      <c r="A465" t="s">
        <v>470</v>
      </c>
      <c r="B465">
        <v>2.5100000000000001E-2</v>
      </c>
      <c r="C465">
        <v>0.42059999999999997</v>
      </c>
      <c r="D465">
        <v>275116.84000000003</v>
      </c>
      <c r="E465">
        <f t="shared" si="21"/>
        <v>2904.4249868904003</v>
      </c>
      <c r="F465">
        <v>2904.42</v>
      </c>
      <c r="G465">
        <f t="shared" si="22"/>
        <v>-4.9868904002323688E-3</v>
      </c>
      <c r="H465">
        <f t="shared" si="23"/>
        <v>-1.7170004339015599E-6</v>
      </c>
    </row>
    <row r="466" spans="1:8">
      <c r="A466" t="s">
        <v>471</v>
      </c>
      <c r="B466">
        <v>2.35E-2</v>
      </c>
      <c r="C466">
        <v>0.50960000000000005</v>
      </c>
      <c r="D466">
        <v>696071.14</v>
      </c>
      <c r="E466">
        <f t="shared" si="21"/>
        <v>8335.8695441840009</v>
      </c>
      <c r="F466">
        <v>8335.8700000000008</v>
      </c>
      <c r="G466">
        <f t="shared" si="22"/>
        <v>4.558159998850897E-4</v>
      </c>
      <c r="H466">
        <f t="shared" si="23"/>
        <v>5.4681275006098899E-8</v>
      </c>
    </row>
    <row r="467" spans="1:8">
      <c r="A467" t="s">
        <v>472</v>
      </c>
      <c r="B467">
        <v>1.6199999999999999E-2</v>
      </c>
      <c r="C467">
        <v>0.42399999999999999</v>
      </c>
      <c r="D467">
        <v>757171.78</v>
      </c>
      <c r="E467">
        <f t="shared" si="21"/>
        <v>5200.8615224639998</v>
      </c>
      <c r="F467">
        <v>5200.8599999999997</v>
      </c>
      <c r="G467">
        <f t="shared" si="22"/>
        <v>-1.5224640001179068E-3</v>
      </c>
      <c r="H467">
        <f t="shared" si="23"/>
        <v>-2.9273312492893617E-7</v>
      </c>
    </row>
    <row r="468" spans="1:8">
      <c r="A468" t="s">
        <v>473</v>
      </c>
      <c r="B468">
        <v>0.88060000000000005</v>
      </c>
      <c r="C468">
        <v>0.46739999999999998</v>
      </c>
      <c r="D468">
        <v>475726.58</v>
      </c>
      <c r="E468">
        <f t="shared" si="21"/>
        <v>195805.46383505521</v>
      </c>
      <c r="F468">
        <v>195805.46</v>
      </c>
      <c r="G468">
        <f t="shared" si="22"/>
        <v>-3.8350552204065025E-3</v>
      </c>
      <c r="H468">
        <f t="shared" si="23"/>
        <v>-1.9586048419724876E-8</v>
      </c>
    </row>
    <row r="469" spans="1:8">
      <c r="A469" t="s">
        <v>474</v>
      </c>
      <c r="B469">
        <v>1.6500000000000001E-2</v>
      </c>
      <c r="C469">
        <v>0.44230000000000003</v>
      </c>
      <c r="D469">
        <v>1900693.52</v>
      </c>
      <c r="E469">
        <f t="shared" si="21"/>
        <v>13871.166274284002</v>
      </c>
      <c r="F469">
        <v>13871.17</v>
      </c>
      <c r="G469">
        <f t="shared" si="22"/>
        <v>3.7257159983710153E-3</v>
      </c>
      <c r="H469">
        <f t="shared" si="23"/>
        <v>2.6859421363670226E-7</v>
      </c>
    </row>
    <row r="470" spans="1:8">
      <c r="A470" t="s">
        <v>475</v>
      </c>
      <c r="B470">
        <v>2.07E-2</v>
      </c>
      <c r="C470">
        <v>0.53149999999999997</v>
      </c>
      <c r="D470">
        <v>1079072.58</v>
      </c>
      <c r="E470">
        <f t="shared" si="21"/>
        <v>11872.010478789</v>
      </c>
      <c r="F470">
        <v>11872.01</v>
      </c>
      <c r="G470">
        <f t="shared" si="22"/>
        <v>-4.7878899931674823E-4</v>
      </c>
      <c r="H470">
        <f t="shared" si="23"/>
        <v>-4.0329228101791374E-8</v>
      </c>
    </row>
    <row r="471" spans="1:8">
      <c r="A471" t="s">
        <v>476</v>
      </c>
      <c r="B471">
        <v>2.0500000000000001E-2</v>
      </c>
      <c r="C471">
        <v>0.45190000000000002</v>
      </c>
      <c r="D471">
        <v>1580827.05</v>
      </c>
      <c r="E471">
        <f t="shared" si="21"/>
        <v>14644.702749847504</v>
      </c>
      <c r="F471">
        <v>14644.7</v>
      </c>
      <c r="G471">
        <f t="shared" si="22"/>
        <v>-2.7498475028551184E-3</v>
      </c>
      <c r="H471">
        <f t="shared" si="23"/>
        <v>-1.8777083196344878E-7</v>
      </c>
    </row>
    <row r="472" spans="1:8">
      <c r="A472" t="s">
        <v>477</v>
      </c>
      <c r="B472">
        <v>1.6500000000000001E-2</v>
      </c>
      <c r="C472">
        <v>0.44719999999999999</v>
      </c>
      <c r="D472">
        <v>318641.34000000003</v>
      </c>
      <c r="E472">
        <f t="shared" si="21"/>
        <v>2351.1907195920003</v>
      </c>
      <c r="F472">
        <v>2351.19</v>
      </c>
      <c r="G472">
        <f t="shared" si="22"/>
        <v>-7.1959200022320147E-4</v>
      </c>
      <c r="H472">
        <f t="shared" si="23"/>
        <v>-3.0605438106797045E-7</v>
      </c>
    </row>
    <row r="473" spans="1:8">
      <c r="A473" t="s">
        <v>478</v>
      </c>
      <c r="B473">
        <v>1.6500000000000001E-2</v>
      </c>
      <c r="C473">
        <v>0.63759999999999994</v>
      </c>
      <c r="D473">
        <v>699300.87</v>
      </c>
      <c r="E473">
        <f t="shared" si="21"/>
        <v>7356.924872747999</v>
      </c>
      <c r="F473">
        <v>7356.92</v>
      </c>
      <c r="G473">
        <f t="shared" si="22"/>
        <v>-4.8727479988883715E-3</v>
      </c>
      <c r="H473">
        <f t="shared" si="23"/>
        <v>-6.6233532495777734E-7</v>
      </c>
    </row>
    <row r="474" spans="1:8">
      <c r="A474" t="s">
        <v>479</v>
      </c>
      <c r="B474">
        <v>1.61E-2</v>
      </c>
      <c r="C474">
        <v>0.4042</v>
      </c>
      <c r="D474">
        <v>628871.4</v>
      </c>
      <c r="E474">
        <f t="shared" si="21"/>
        <v>4092.4561000680001</v>
      </c>
      <c r="F474">
        <v>4092.46</v>
      </c>
      <c r="G474">
        <f t="shared" si="22"/>
        <v>3.8999319999675208E-3</v>
      </c>
      <c r="H474">
        <f t="shared" si="23"/>
        <v>9.5295543510932807E-7</v>
      </c>
    </row>
    <row r="475" spans="1:8">
      <c r="A475" t="s">
        <v>480</v>
      </c>
      <c r="B475">
        <v>1.7899999999999999E-2</v>
      </c>
      <c r="C475">
        <v>0.40179999999999999</v>
      </c>
      <c r="D475">
        <v>555345.55000000005</v>
      </c>
      <c r="E475">
        <f t="shared" si="21"/>
        <v>3994.1673716209998</v>
      </c>
      <c r="F475">
        <v>3994.17</v>
      </c>
      <c r="G475">
        <f t="shared" si="22"/>
        <v>2.6283790002707974E-3</v>
      </c>
      <c r="H475">
        <f t="shared" si="23"/>
        <v>6.5805386357385829E-7</v>
      </c>
    </row>
    <row r="476" spans="1:8">
      <c r="A476" t="s">
        <v>481</v>
      </c>
      <c r="B476">
        <v>1.7000000000000001E-2</v>
      </c>
      <c r="C476">
        <v>0.35589999999999999</v>
      </c>
      <c r="D476">
        <v>560050.88</v>
      </c>
      <c r="E476">
        <f t="shared" si="21"/>
        <v>3388.4758392640006</v>
      </c>
      <c r="F476">
        <v>3388.48</v>
      </c>
      <c r="G476">
        <f t="shared" si="22"/>
        <v>4.1607359994486615E-3</v>
      </c>
      <c r="H476">
        <f t="shared" si="23"/>
        <v>1.2279063177143326E-6</v>
      </c>
    </row>
    <row r="477" spans="1:8">
      <c r="A477" t="s">
        <v>482</v>
      </c>
      <c r="B477">
        <v>2.06E-2</v>
      </c>
      <c r="C477">
        <v>0.40200000000000002</v>
      </c>
      <c r="D477">
        <v>412757.04</v>
      </c>
      <c r="E477">
        <f t="shared" si="21"/>
        <v>3418.123599648</v>
      </c>
      <c r="F477">
        <v>3418.12</v>
      </c>
      <c r="G477">
        <f t="shared" si="22"/>
        <v>-3.599648000090383E-3</v>
      </c>
      <c r="H477">
        <f t="shared" si="23"/>
        <v>-1.0531075562269269E-6</v>
      </c>
    </row>
    <row r="478" spans="1:8">
      <c r="A478" t="s">
        <v>483</v>
      </c>
      <c r="B478">
        <v>1.5299999999999999E-2</v>
      </c>
      <c r="C478">
        <v>0.36990000000000001</v>
      </c>
      <c r="D478">
        <v>1086815.1100000001</v>
      </c>
      <c r="E478">
        <f t="shared" si="21"/>
        <v>6150.7975105917003</v>
      </c>
      <c r="F478">
        <v>6150.8</v>
      </c>
      <c r="G478">
        <f t="shared" si="22"/>
        <v>2.4894082998798694E-3</v>
      </c>
      <c r="H478">
        <f t="shared" si="23"/>
        <v>4.0472918967937005E-7</v>
      </c>
    </row>
    <row r="479" spans="1:8">
      <c r="A479" t="s">
        <v>484</v>
      </c>
      <c r="B479">
        <v>0.65390000000000004</v>
      </c>
      <c r="C479">
        <v>0.3972</v>
      </c>
      <c r="D479">
        <v>35725.370000000003</v>
      </c>
      <c r="E479">
        <f t="shared" si="21"/>
        <v>9278.9174827596016</v>
      </c>
      <c r="F479">
        <v>9278.92</v>
      </c>
      <c r="G479">
        <f t="shared" si="22"/>
        <v>2.5172403984470293E-3</v>
      </c>
      <c r="H479">
        <f t="shared" si="23"/>
        <v>2.7128592534982834E-7</v>
      </c>
    </row>
    <row r="480" spans="1:8">
      <c r="A480" t="s">
        <v>485</v>
      </c>
      <c r="B480">
        <v>2.3300000000000001E-2</v>
      </c>
      <c r="C480">
        <v>0.38109999999999999</v>
      </c>
      <c r="D480">
        <v>150565.87</v>
      </c>
      <c r="E480">
        <f t="shared" si="21"/>
        <v>1336.9692162281001</v>
      </c>
      <c r="F480">
        <v>1336.97</v>
      </c>
      <c r="G480">
        <f t="shared" si="22"/>
        <v>7.8377189993261709E-4</v>
      </c>
      <c r="H480">
        <f t="shared" si="23"/>
        <v>5.8622998267172563E-7</v>
      </c>
    </row>
    <row r="481" spans="1:8">
      <c r="A481" t="s">
        <v>486</v>
      </c>
      <c r="B481">
        <v>2.3900000000000001E-2</v>
      </c>
      <c r="C481">
        <v>0.58289999999999997</v>
      </c>
      <c r="D481">
        <v>536511.34</v>
      </c>
      <c r="E481">
        <f t="shared" si="21"/>
        <v>7474.3057960553997</v>
      </c>
      <c r="F481">
        <v>7474.31</v>
      </c>
      <c r="G481">
        <f t="shared" si="22"/>
        <v>4.203944600703835E-3</v>
      </c>
      <c r="H481">
        <f t="shared" si="23"/>
        <v>5.6245253417423615E-7</v>
      </c>
    </row>
    <row r="482" spans="1:8">
      <c r="A482" t="s">
        <v>487</v>
      </c>
      <c r="B482">
        <v>1.9199999999999998E-2</v>
      </c>
      <c r="C482">
        <v>0.60860000000000003</v>
      </c>
      <c r="D482">
        <v>417370.98</v>
      </c>
      <c r="E482">
        <f t="shared" si="21"/>
        <v>4877.0299858175995</v>
      </c>
      <c r="F482">
        <v>4877.03</v>
      </c>
      <c r="G482">
        <f t="shared" si="22"/>
        <v>1.4182400263962336E-5</v>
      </c>
      <c r="H482">
        <f t="shared" si="23"/>
        <v>2.9079993897848357E-9</v>
      </c>
    </row>
    <row r="483" spans="1:8">
      <c r="A483" t="s">
        <v>488</v>
      </c>
      <c r="B483">
        <v>0.1021</v>
      </c>
      <c r="C483">
        <v>0.60250000000000004</v>
      </c>
      <c r="D483">
        <v>223215.11</v>
      </c>
      <c r="E483">
        <f t="shared" si="21"/>
        <v>13731.133295427499</v>
      </c>
      <c r="F483">
        <v>13731.13</v>
      </c>
      <c r="G483">
        <f t="shared" si="22"/>
        <v>-3.2954274993244326E-3</v>
      </c>
      <c r="H483">
        <f t="shared" si="23"/>
        <v>-2.3999681740136701E-7</v>
      </c>
    </row>
    <row r="484" spans="1:8">
      <c r="A484" t="s">
        <v>489</v>
      </c>
      <c r="B484">
        <v>1.9400000000000001E-2</v>
      </c>
      <c r="C484">
        <v>0.42399999999999999</v>
      </c>
      <c r="D484">
        <v>425007.76</v>
      </c>
      <c r="E484">
        <f t="shared" si="21"/>
        <v>3495.943830656</v>
      </c>
      <c r="F484">
        <v>3495.94</v>
      </c>
      <c r="G484">
        <f t="shared" si="22"/>
        <v>-3.830655999990995E-3</v>
      </c>
      <c r="H484">
        <f t="shared" si="23"/>
        <v>-1.0957442061336851E-6</v>
      </c>
    </row>
    <row r="485" spans="1:8">
      <c r="A485" t="s">
        <v>490</v>
      </c>
      <c r="B485">
        <v>2.41E-2</v>
      </c>
      <c r="C485">
        <v>0.6169</v>
      </c>
      <c r="D485">
        <v>766928.02</v>
      </c>
      <c r="E485">
        <f t="shared" si="21"/>
        <v>11402.1412824658</v>
      </c>
      <c r="F485">
        <v>11402.14</v>
      </c>
      <c r="G485">
        <f t="shared" si="22"/>
        <v>-1.2824658006138634E-3</v>
      </c>
      <c r="H485">
        <f t="shared" si="23"/>
        <v>-1.1247588615942827E-7</v>
      </c>
    </row>
    <row r="486" spans="1:8">
      <c r="A486" t="s">
        <v>491</v>
      </c>
      <c r="B486">
        <v>2.0899999999999998E-2</v>
      </c>
      <c r="C486">
        <v>0.44450000000000001</v>
      </c>
      <c r="D486">
        <v>547189.24</v>
      </c>
      <c r="E486">
        <f t="shared" si="21"/>
        <v>5083.4153990619998</v>
      </c>
      <c r="F486">
        <v>5083.42</v>
      </c>
      <c r="G486">
        <f t="shared" si="22"/>
        <v>4.6009380002942635E-3</v>
      </c>
      <c r="H486">
        <f t="shared" si="23"/>
        <v>9.0508712644130598E-7</v>
      </c>
    </row>
    <row r="487" spans="1:8">
      <c r="A487" t="s">
        <v>492</v>
      </c>
      <c r="B487">
        <v>2.5399999999999999E-2</v>
      </c>
      <c r="C487">
        <v>0.4955</v>
      </c>
      <c r="D487">
        <v>2272331.62</v>
      </c>
      <c r="E487">
        <f t="shared" si="21"/>
        <v>28598.884069834003</v>
      </c>
      <c r="F487">
        <v>28598.880000000001</v>
      </c>
      <c r="G487">
        <f t="shared" si="22"/>
        <v>-4.0698340017115697E-3</v>
      </c>
      <c r="H487">
        <f t="shared" si="23"/>
        <v>-1.4230746105132682E-7</v>
      </c>
    </row>
    <row r="488" spans="1:8">
      <c r="A488" t="s">
        <v>493</v>
      </c>
      <c r="B488">
        <v>2.1899999999999999E-2</v>
      </c>
      <c r="C488">
        <v>0.54779999999999995</v>
      </c>
      <c r="D488">
        <v>662940.21</v>
      </c>
      <c r="E488">
        <f t="shared" si="21"/>
        <v>7953.1743701321984</v>
      </c>
      <c r="F488">
        <v>7953.17</v>
      </c>
      <c r="G488">
        <f t="shared" si="22"/>
        <v>-4.3701321983462549E-3</v>
      </c>
      <c r="H488">
        <f t="shared" si="23"/>
        <v>-5.4948306126315107E-7</v>
      </c>
    </row>
    <row r="489" spans="1:8">
      <c r="A489" t="s">
        <v>494</v>
      </c>
      <c r="B489">
        <v>2.5700000000000001E-2</v>
      </c>
      <c r="C489">
        <v>0.46210000000000001</v>
      </c>
      <c r="D489">
        <v>290205.39</v>
      </c>
      <c r="E489">
        <f t="shared" si="21"/>
        <v>3446.4705054783008</v>
      </c>
      <c r="F489">
        <v>3446.47</v>
      </c>
      <c r="G489">
        <f t="shared" si="22"/>
        <v>-5.0547830096547841E-4</v>
      </c>
      <c r="H489">
        <f t="shared" si="23"/>
        <v>-1.4666551601072356E-7</v>
      </c>
    </row>
    <row r="490" spans="1:8">
      <c r="A490" t="s">
        <v>495</v>
      </c>
      <c r="B490">
        <v>2.1100000000000001E-2</v>
      </c>
      <c r="C490">
        <v>0.41880000000000001</v>
      </c>
      <c r="D490">
        <v>157543.04000000001</v>
      </c>
      <c r="E490">
        <f t="shared" si="21"/>
        <v>1392.1574307072003</v>
      </c>
      <c r="F490">
        <v>1392.16</v>
      </c>
      <c r="G490">
        <f t="shared" si="22"/>
        <v>2.5692927997624793E-3</v>
      </c>
      <c r="H490">
        <f t="shared" si="23"/>
        <v>1.8455441901523382E-6</v>
      </c>
    </row>
    <row r="491" spans="1:8">
      <c r="A491" t="s">
        <v>496</v>
      </c>
      <c r="B491">
        <v>2.2599999999999999E-2</v>
      </c>
      <c r="C491">
        <v>0.63070000000000004</v>
      </c>
      <c r="D491">
        <v>1924196.41</v>
      </c>
      <c r="E491">
        <f t="shared" si="21"/>
        <v>27427.149272786199</v>
      </c>
      <c r="F491">
        <v>27427.15</v>
      </c>
      <c r="G491">
        <f t="shared" si="22"/>
        <v>7.2721380274742842E-4</v>
      </c>
      <c r="H491">
        <f t="shared" si="23"/>
        <v>2.6514377277530781E-8</v>
      </c>
    </row>
    <row r="492" spans="1:8">
      <c r="A492" t="s">
        <v>497</v>
      </c>
      <c r="B492">
        <v>8.9300000000000004E-2</v>
      </c>
      <c r="C492">
        <v>0.64959999999999996</v>
      </c>
      <c r="D492">
        <v>305169.03999999998</v>
      </c>
      <c r="E492">
        <f t="shared" si="21"/>
        <v>17702.636288691199</v>
      </c>
      <c r="F492">
        <v>17702.64</v>
      </c>
      <c r="G492">
        <f t="shared" si="22"/>
        <v>3.7113088001206052E-3</v>
      </c>
      <c r="H492">
        <f t="shared" si="23"/>
        <v>2.096471938716827E-7</v>
      </c>
    </row>
    <row r="493" spans="1:8">
      <c r="A493" t="s">
        <v>498</v>
      </c>
      <c r="B493">
        <v>0.13420000000000001</v>
      </c>
      <c r="C493">
        <v>0.43209999999999998</v>
      </c>
      <c r="D493">
        <v>1138623.04</v>
      </c>
      <c r="E493">
        <f t="shared" si="21"/>
        <v>66026.267891372801</v>
      </c>
      <c r="F493">
        <v>66026.27</v>
      </c>
      <c r="G493">
        <f t="shared" si="22"/>
        <v>2.108627202687785E-3</v>
      </c>
      <c r="H493">
        <f t="shared" si="23"/>
        <v>3.1936185440852331E-8</v>
      </c>
    </row>
    <row r="494" spans="1:8">
      <c r="A494" t="s">
        <v>499</v>
      </c>
      <c r="B494">
        <v>2.5399999999999999E-2</v>
      </c>
      <c r="C494">
        <v>0.51380000000000003</v>
      </c>
      <c r="D494">
        <v>0</v>
      </c>
      <c r="E494">
        <f t="shared" si="21"/>
        <v>0</v>
      </c>
      <c r="F494">
        <v>0</v>
      </c>
      <c r="G494">
        <f t="shared" si="22"/>
        <v>0</v>
      </c>
      <c r="H494">
        <f t="shared" si="23"/>
        <v>0</v>
      </c>
    </row>
    <row r="495" spans="1:8">
      <c r="A495" t="s">
        <v>500</v>
      </c>
      <c r="B495">
        <v>0.71079999999999999</v>
      </c>
      <c r="C495">
        <v>0.52880000000000005</v>
      </c>
      <c r="D495">
        <v>1507790.21</v>
      </c>
      <c r="E495">
        <f t="shared" si="21"/>
        <v>566734.6743345185</v>
      </c>
      <c r="F495">
        <v>566734.67000000004</v>
      </c>
      <c r="G495">
        <f t="shared" si="22"/>
        <v>-4.3345184531062841E-3</v>
      </c>
      <c r="H495">
        <f t="shared" si="23"/>
        <v>-7.648232378489009E-9</v>
      </c>
    </row>
    <row r="496" spans="1:8">
      <c r="A496" t="s">
        <v>501</v>
      </c>
      <c r="B496">
        <v>1.46E-2</v>
      </c>
      <c r="C496">
        <v>0.58679999999999999</v>
      </c>
      <c r="D496">
        <v>1219584.1399999999</v>
      </c>
      <c r="E496">
        <f t="shared" si="21"/>
        <v>10448.518810939198</v>
      </c>
      <c r="F496">
        <v>10448.52</v>
      </c>
      <c r="G496">
        <f t="shared" si="22"/>
        <v>1.1890608020621585E-3</v>
      </c>
      <c r="H496">
        <f t="shared" si="23"/>
        <v>1.1380184007516456E-7</v>
      </c>
    </row>
    <row r="497" spans="1:8">
      <c r="A497" t="s">
        <v>502</v>
      </c>
      <c r="B497">
        <v>0.10050000000000001</v>
      </c>
      <c r="C497">
        <v>0.36609999999999998</v>
      </c>
      <c r="D497">
        <v>1482493.06</v>
      </c>
      <c r="E497">
        <f t="shared" si="21"/>
        <v>54545.441281233005</v>
      </c>
      <c r="F497">
        <v>54545.440000000002</v>
      </c>
      <c r="G497">
        <f t="shared" si="22"/>
        <v>-1.281233002373483E-3</v>
      </c>
      <c r="H497">
        <f t="shared" si="23"/>
        <v>-2.3489277973987981E-8</v>
      </c>
    </row>
    <row r="498" spans="1:8">
      <c r="A498" t="s">
        <v>503</v>
      </c>
      <c r="B498">
        <v>1.5299999999999999E-2</v>
      </c>
      <c r="C498">
        <v>0.52659999999999996</v>
      </c>
      <c r="D498">
        <v>799816.3</v>
      </c>
      <c r="E498">
        <f t="shared" si="21"/>
        <v>6444.1039327739991</v>
      </c>
      <c r="F498">
        <v>6444.1</v>
      </c>
      <c r="G498">
        <f t="shared" si="22"/>
        <v>-3.9327739987129462E-3</v>
      </c>
      <c r="H498">
        <f t="shared" si="23"/>
        <v>-6.1029065326623514E-7</v>
      </c>
    </row>
    <row r="499" spans="1:8">
      <c r="A499" t="s">
        <v>504</v>
      </c>
      <c r="B499">
        <v>2.4400000000000002E-2</v>
      </c>
      <c r="C499">
        <v>0.50970000000000004</v>
      </c>
      <c r="D499">
        <v>699255.26</v>
      </c>
      <c r="E499">
        <f t="shared" si="21"/>
        <v>8696.4139069368011</v>
      </c>
      <c r="F499">
        <v>8696.41</v>
      </c>
      <c r="G499">
        <f t="shared" si="22"/>
        <v>-3.906936801286065E-3</v>
      </c>
      <c r="H499">
        <f t="shared" si="23"/>
        <v>-4.4925857926271475E-7</v>
      </c>
    </row>
    <row r="500" spans="1:8">
      <c r="A500" t="s">
        <v>505</v>
      </c>
      <c r="B500">
        <v>2.2200000000000001E-2</v>
      </c>
      <c r="C500">
        <v>0.53620000000000001</v>
      </c>
      <c r="D500">
        <v>43595.51</v>
      </c>
      <c r="E500">
        <f t="shared" si="21"/>
        <v>518.94525665640003</v>
      </c>
      <c r="F500">
        <v>518.95000000000005</v>
      </c>
      <c r="G500">
        <f t="shared" si="22"/>
        <v>4.74334360001194E-3</v>
      </c>
      <c r="H500">
        <f t="shared" si="23"/>
        <v>9.140270931711994E-6</v>
      </c>
    </row>
    <row r="501" spans="1:8">
      <c r="A501" t="s">
        <v>506</v>
      </c>
      <c r="B501">
        <v>1.72E-2</v>
      </c>
      <c r="C501">
        <v>0.61809999999999998</v>
      </c>
      <c r="D501">
        <v>1457447.03</v>
      </c>
      <c r="E501">
        <f t="shared" si="21"/>
        <v>15494.5857589796</v>
      </c>
      <c r="F501">
        <v>15494.59</v>
      </c>
      <c r="G501">
        <f t="shared" si="22"/>
        <v>4.241020400513662E-3</v>
      </c>
      <c r="H501">
        <f t="shared" si="23"/>
        <v>2.7370975292109452E-7</v>
      </c>
    </row>
    <row r="502" spans="1:8">
      <c r="A502" t="s">
        <v>508</v>
      </c>
      <c r="E502">
        <f>SUM(E2:E501)</f>
        <v>11662952.854941219</v>
      </c>
      <c r="F502">
        <f>SUM(F2:F501)</f>
        <v>11662952.900000002</v>
      </c>
      <c r="G502">
        <f>SUM(G2:G501)</f>
        <v>4.505877692591298E-2</v>
      </c>
      <c r="H502">
        <f>IFERROR(F501/G501,0)</f>
        <v>3653505.1795844543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1" sqref="C11"/>
    </sheetView>
  </sheetViews>
  <sheetFormatPr defaultRowHeight="15"/>
  <cols>
    <col min="1" max="1" width="23.42578125" bestFit="1" customWidth="1"/>
    <col min="2" max="2" width="14.5703125" bestFit="1" customWidth="1"/>
    <col min="3" max="3" width="16.42578125" bestFit="1" customWidth="1"/>
    <col min="4" max="4" width="16.140625" bestFit="1" customWidth="1"/>
  </cols>
  <sheetData>
    <row r="1" spans="1:3">
      <c r="A1" t="s">
        <v>509</v>
      </c>
      <c r="B1" t="s">
        <v>510</v>
      </c>
      <c r="C1" t="s">
        <v>511</v>
      </c>
    </row>
    <row r="2" spans="1:3">
      <c r="A2" t="s">
        <v>512</v>
      </c>
      <c r="B2">
        <v>224314401.66</v>
      </c>
      <c r="C2" t="s">
        <v>521</v>
      </c>
    </row>
    <row r="3" spans="1:3">
      <c r="A3" t="s">
        <v>513</v>
      </c>
      <c r="B3">
        <v>-1121572.0083000001</v>
      </c>
      <c r="C3" t="s">
        <v>521</v>
      </c>
    </row>
    <row r="4" spans="1:3">
      <c r="A4" t="s">
        <v>514</v>
      </c>
      <c r="B4">
        <v>-20338252.736000001</v>
      </c>
      <c r="C4" t="s">
        <v>521</v>
      </c>
    </row>
    <row r="5" spans="1:3">
      <c r="A5" t="s">
        <v>515</v>
      </c>
      <c r="B5">
        <v>-202854576.91569999</v>
      </c>
      <c r="C5" t="s">
        <v>521</v>
      </c>
    </row>
    <row r="6" spans="1:3">
      <c r="A6" t="s">
        <v>516</v>
      </c>
      <c r="B6">
        <v>0</v>
      </c>
      <c r="C6" t="s">
        <v>521</v>
      </c>
    </row>
    <row r="7" spans="1:3">
      <c r="A7" t="s">
        <v>517</v>
      </c>
      <c r="B7">
        <v>0</v>
      </c>
      <c r="C7" t="s">
        <v>521</v>
      </c>
    </row>
    <row r="8" spans="1:3">
      <c r="A8" t="s">
        <v>518</v>
      </c>
      <c r="B8">
        <v>0</v>
      </c>
      <c r="C8" t="s">
        <v>521</v>
      </c>
    </row>
    <row r="9" spans="1:3">
      <c r="A9" t="s">
        <v>519</v>
      </c>
      <c r="B9">
        <f>SUM(B3:B8)</f>
        <v>-224314401.66</v>
      </c>
    </row>
    <row r="10" spans="1:3">
      <c r="A10" t="s">
        <v>520</v>
      </c>
      <c r="B10">
        <f>B2+B9</f>
        <v>0</v>
      </c>
      <c r="C10" t="str">
        <f>IF(ABS(B10)&lt;0.01,"VALID","CHECK REQUIRED")</f>
        <v>VALID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29.25" customHeight="1"/>
  <cols>
    <col min="1" max="1" width="8.42578125" style="2" customWidth="1"/>
    <col min="2" max="2" width="30.7109375" customWidth="1"/>
    <col min="3" max="3" width="20.7109375" customWidth="1"/>
    <col min="4" max="4" width="57" customWidth="1"/>
    <col min="5" max="5" width="80.7109375" customWidth="1"/>
    <col min="6" max="6" width="19.28515625" customWidth="1"/>
  </cols>
  <sheetData>
    <row r="1" spans="1:6" s="8" customFormat="1" ht="29.25" customHeight="1">
      <c r="A1" s="7" t="s">
        <v>529</v>
      </c>
      <c r="B1" s="4" t="s">
        <v>522</v>
      </c>
      <c r="C1" s="4" t="s">
        <v>523</v>
      </c>
      <c r="D1" s="4" t="s">
        <v>524</v>
      </c>
      <c r="E1" s="4" t="s">
        <v>525</v>
      </c>
      <c r="F1" s="4" t="s">
        <v>526</v>
      </c>
    </row>
    <row r="2" spans="1:6" ht="29.25" customHeight="1">
      <c r="A2" s="2">
        <f>ROW()-1</f>
        <v>1</v>
      </c>
      <c r="B2" s="3" t="s">
        <v>528</v>
      </c>
      <c r="C2" s="3" t="s">
        <v>527</v>
      </c>
      <c r="D2" s="3" t="s">
        <v>530</v>
      </c>
      <c r="E2" s="5" t="s">
        <v>532</v>
      </c>
      <c r="F2" s="3" t="s">
        <v>531</v>
      </c>
    </row>
    <row r="3" spans="1:6" ht="29.25" customHeight="1">
      <c r="A3" s="2">
        <f t="shared" ref="A3:A61" si="0">ROW()-1</f>
        <v>2</v>
      </c>
      <c r="B3" s="3" t="s">
        <v>533</v>
      </c>
      <c r="C3" s="3" t="s">
        <v>527</v>
      </c>
      <c r="D3" s="3" t="s">
        <v>535</v>
      </c>
      <c r="E3" s="3" t="s">
        <v>796</v>
      </c>
      <c r="F3" s="3" t="s">
        <v>531</v>
      </c>
    </row>
    <row r="4" spans="1:6" ht="29.25" customHeight="1">
      <c r="A4" s="2">
        <f t="shared" si="0"/>
        <v>3</v>
      </c>
      <c r="B4" s="3" t="s">
        <v>534</v>
      </c>
      <c r="C4" s="3" t="s">
        <v>527</v>
      </c>
      <c r="D4" s="3" t="s">
        <v>536</v>
      </c>
      <c r="E4" s="5" t="s">
        <v>797</v>
      </c>
      <c r="F4" s="3" t="s">
        <v>531</v>
      </c>
    </row>
    <row r="5" spans="1:6" ht="29.25" customHeight="1">
      <c r="A5" s="2">
        <f t="shared" si="0"/>
        <v>4</v>
      </c>
      <c r="B5" s="3" t="s">
        <v>537</v>
      </c>
      <c r="C5" s="3" t="s">
        <v>527</v>
      </c>
      <c r="D5" s="3" t="s">
        <v>538</v>
      </c>
      <c r="E5" s="5" t="s">
        <v>798</v>
      </c>
      <c r="F5" s="3" t="s">
        <v>539</v>
      </c>
    </row>
    <row r="6" spans="1:6" ht="29.25" customHeight="1">
      <c r="A6" s="2">
        <f t="shared" si="0"/>
        <v>5</v>
      </c>
      <c r="B6" s="3" t="s">
        <v>540</v>
      </c>
      <c r="C6" s="3" t="s">
        <v>527</v>
      </c>
      <c r="D6" s="3" t="s">
        <v>541</v>
      </c>
      <c r="E6" s="3" t="s">
        <v>799</v>
      </c>
      <c r="F6" s="3" t="s">
        <v>539</v>
      </c>
    </row>
    <row r="7" spans="1:6" ht="29.25" customHeight="1">
      <c r="A7" s="2">
        <f t="shared" si="0"/>
        <v>6</v>
      </c>
      <c r="B7" s="3" t="s">
        <v>542</v>
      </c>
      <c r="C7" s="3" t="s">
        <v>527</v>
      </c>
      <c r="D7" s="3" t="s">
        <v>543</v>
      </c>
      <c r="E7" s="3" t="s">
        <v>800</v>
      </c>
      <c r="F7" s="3" t="s">
        <v>539</v>
      </c>
    </row>
    <row r="8" spans="1:6" ht="29.25" customHeight="1">
      <c r="A8" s="2">
        <f t="shared" si="0"/>
        <v>7</v>
      </c>
      <c r="B8" s="3" t="s">
        <v>544</v>
      </c>
      <c r="C8" s="3" t="s">
        <v>527</v>
      </c>
      <c r="D8" s="3" t="s">
        <v>545</v>
      </c>
      <c r="E8" s="3" t="s">
        <v>801</v>
      </c>
      <c r="F8" s="3" t="s">
        <v>531</v>
      </c>
    </row>
    <row r="9" spans="1:6" ht="29.25" customHeight="1">
      <c r="A9" s="2">
        <f t="shared" si="0"/>
        <v>8</v>
      </c>
      <c r="B9" s="3" t="s">
        <v>546</v>
      </c>
      <c r="C9" s="3" t="s">
        <v>547</v>
      </c>
      <c r="D9" s="3" t="s">
        <v>548</v>
      </c>
      <c r="E9" s="3" t="s">
        <v>802</v>
      </c>
      <c r="F9" s="3" t="s">
        <v>531</v>
      </c>
    </row>
    <row r="10" spans="1:6" ht="29.25" customHeight="1">
      <c r="A10" s="2">
        <f t="shared" si="0"/>
        <v>9</v>
      </c>
      <c r="B10" s="3" t="s">
        <v>549</v>
      </c>
      <c r="C10" s="3" t="s">
        <v>547</v>
      </c>
      <c r="D10" s="3" t="s">
        <v>550</v>
      </c>
      <c r="E10" s="1" t="s">
        <v>803</v>
      </c>
      <c r="F10" s="3" t="s">
        <v>531</v>
      </c>
    </row>
    <row r="11" spans="1:6" ht="29.25" customHeight="1">
      <c r="A11" s="2">
        <f t="shared" si="0"/>
        <v>10</v>
      </c>
      <c r="B11" s="3" t="s">
        <v>551</v>
      </c>
      <c r="C11" s="3" t="s">
        <v>547</v>
      </c>
      <c r="D11" s="3" t="s">
        <v>552</v>
      </c>
      <c r="E11" s="1" t="s">
        <v>804</v>
      </c>
      <c r="F11" s="3" t="s">
        <v>531</v>
      </c>
    </row>
    <row r="12" spans="1:6" ht="29.25" customHeight="1">
      <c r="A12" s="2">
        <f t="shared" si="0"/>
        <v>11</v>
      </c>
      <c r="B12" s="3" t="s">
        <v>553</v>
      </c>
      <c r="C12" s="3" t="s">
        <v>547</v>
      </c>
      <c r="D12" s="3" t="s">
        <v>554</v>
      </c>
      <c r="E12" s="6" t="s">
        <v>805</v>
      </c>
      <c r="F12" s="3" t="s">
        <v>555</v>
      </c>
    </row>
    <row r="13" spans="1:6" ht="29.25" customHeight="1">
      <c r="A13" s="2">
        <f t="shared" si="0"/>
        <v>12</v>
      </c>
      <c r="B13" s="3" t="s">
        <v>556</v>
      </c>
      <c r="C13" s="3" t="s">
        <v>547</v>
      </c>
      <c r="D13" s="3" t="s">
        <v>557</v>
      </c>
      <c r="E13" s="1" t="s">
        <v>806</v>
      </c>
      <c r="F13" s="3" t="s">
        <v>555</v>
      </c>
    </row>
    <row r="14" spans="1:6" ht="29.25" customHeight="1">
      <c r="A14" s="2">
        <f t="shared" si="0"/>
        <v>13</v>
      </c>
      <c r="B14" s="3" t="s">
        <v>558</v>
      </c>
      <c r="C14" s="3" t="s">
        <v>547</v>
      </c>
      <c r="D14" s="3" t="s">
        <v>559</v>
      </c>
      <c r="E14" s="6" t="s">
        <v>807</v>
      </c>
      <c r="F14" s="3" t="s">
        <v>555</v>
      </c>
    </row>
    <row r="15" spans="1:6" ht="29.25" customHeight="1">
      <c r="A15" s="2">
        <f t="shared" si="0"/>
        <v>14</v>
      </c>
      <c r="B15" s="3" t="s">
        <v>560</v>
      </c>
      <c r="C15" s="3" t="s">
        <v>547</v>
      </c>
      <c r="D15" s="3" t="s">
        <v>561</v>
      </c>
      <c r="E15" s="1" t="s">
        <v>808</v>
      </c>
      <c r="F15" s="3" t="s">
        <v>531</v>
      </c>
    </row>
    <row r="16" spans="1:6" ht="29.25" customHeight="1">
      <c r="A16" s="2">
        <f t="shared" si="0"/>
        <v>15</v>
      </c>
      <c r="B16" s="3" t="s">
        <v>562</v>
      </c>
      <c r="C16" s="3" t="s">
        <v>547</v>
      </c>
      <c r="D16" s="3" t="s">
        <v>563</v>
      </c>
      <c r="E16" s="1" t="s">
        <v>809</v>
      </c>
      <c r="F16" s="3" t="s">
        <v>531</v>
      </c>
    </row>
    <row r="17" spans="1:6" ht="29.25" customHeight="1">
      <c r="A17" s="2">
        <f t="shared" si="0"/>
        <v>16</v>
      </c>
      <c r="B17" s="3" t="s">
        <v>564</v>
      </c>
      <c r="C17" s="3" t="s">
        <v>547</v>
      </c>
      <c r="D17" s="3" t="s">
        <v>565</v>
      </c>
      <c r="E17" s="1" t="s">
        <v>810</v>
      </c>
      <c r="F17" s="3" t="s">
        <v>531</v>
      </c>
    </row>
    <row r="18" spans="1:6" ht="29.25" customHeight="1">
      <c r="A18" s="2">
        <f t="shared" si="0"/>
        <v>17</v>
      </c>
      <c r="B18" s="3" t="s">
        <v>566</v>
      </c>
      <c r="C18" s="3" t="s">
        <v>547</v>
      </c>
      <c r="D18" s="3" t="s">
        <v>567</v>
      </c>
      <c r="E18" s="1" t="s">
        <v>811</v>
      </c>
      <c r="F18" s="3" t="s">
        <v>531</v>
      </c>
    </row>
    <row r="19" spans="1:6" ht="29.25" customHeight="1">
      <c r="A19" s="2">
        <f t="shared" si="0"/>
        <v>18</v>
      </c>
      <c r="B19" s="3" t="s">
        <v>568</v>
      </c>
      <c r="C19" s="3" t="s">
        <v>547</v>
      </c>
      <c r="D19" s="3" t="s">
        <v>569</v>
      </c>
      <c r="E19" s="1" t="s">
        <v>812</v>
      </c>
      <c r="F19" s="3" t="s">
        <v>531</v>
      </c>
    </row>
    <row r="20" spans="1:6" ht="29.25" customHeight="1">
      <c r="A20" s="2">
        <f t="shared" si="0"/>
        <v>19</v>
      </c>
      <c r="B20" s="3" t="s">
        <v>570</v>
      </c>
      <c r="C20" s="3" t="s">
        <v>547</v>
      </c>
      <c r="D20" s="3" t="s">
        <v>571</v>
      </c>
      <c r="E20" s="1" t="s">
        <v>813</v>
      </c>
      <c r="F20" s="3" t="s">
        <v>572</v>
      </c>
    </row>
    <row r="21" spans="1:6" ht="29.25" customHeight="1">
      <c r="A21" s="2">
        <f t="shared" si="0"/>
        <v>20</v>
      </c>
      <c r="B21" s="3" t="s">
        <v>573</v>
      </c>
      <c r="C21" s="3" t="s">
        <v>574</v>
      </c>
      <c r="D21" s="3" t="s">
        <v>575</v>
      </c>
      <c r="E21" s="1" t="s">
        <v>814</v>
      </c>
      <c r="F21" s="3" t="s">
        <v>576</v>
      </c>
    </row>
    <row r="22" spans="1:6" ht="29.25" customHeight="1">
      <c r="A22" s="2">
        <f t="shared" si="0"/>
        <v>21</v>
      </c>
      <c r="B22" s="3" t="s">
        <v>577</v>
      </c>
      <c r="C22" s="3" t="s">
        <v>578</v>
      </c>
      <c r="D22" s="3" t="s">
        <v>579</v>
      </c>
      <c r="E22" s="1" t="s">
        <v>580</v>
      </c>
      <c r="F22" s="3" t="s">
        <v>531</v>
      </c>
    </row>
    <row r="23" spans="1:6" ht="29.25" customHeight="1">
      <c r="A23" s="2">
        <f t="shared" si="0"/>
        <v>22</v>
      </c>
      <c r="B23" s="3" t="s">
        <v>581</v>
      </c>
      <c r="C23" s="3" t="s">
        <v>578</v>
      </c>
      <c r="D23" s="3" t="s">
        <v>582</v>
      </c>
      <c r="E23" s="6" t="s">
        <v>815</v>
      </c>
      <c r="F23" s="3" t="s">
        <v>531</v>
      </c>
    </row>
    <row r="24" spans="1:6" ht="29.25" customHeight="1">
      <c r="A24" s="2">
        <f t="shared" si="0"/>
        <v>23</v>
      </c>
      <c r="B24" s="3" t="s">
        <v>583</v>
      </c>
      <c r="C24" s="3" t="s">
        <v>578</v>
      </c>
      <c r="D24" s="3" t="s">
        <v>584</v>
      </c>
      <c r="E24" s="1" t="s">
        <v>816</v>
      </c>
      <c r="F24" s="3" t="s">
        <v>531</v>
      </c>
    </row>
    <row r="25" spans="1:6" ht="29.25" customHeight="1">
      <c r="A25" s="2">
        <f t="shared" si="0"/>
        <v>24</v>
      </c>
      <c r="B25" s="3" t="s">
        <v>585</v>
      </c>
      <c r="C25" s="3" t="s">
        <v>578</v>
      </c>
      <c r="D25" s="3" t="s">
        <v>586</v>
      </c>
      <c r="E25" s="1" t="s">
        <v>817</v>
      </c>
      <c r="F25" s="3" t="s">
        <v>531</v>
      </c>
    </row>
    <row r="26" spans="1:6" ht="29.25" customHeight="1">
      <c r="A26" s="2">
        <f t="shared" si="0"/>
        <v>25</v>
      </c>
      <c r="B26" s="3" t="s">
        <v>587</v>
      </c>
      <c r="C26" s="3" t="s">
        <v>578</v>
      </c>
      <c r="D26" s="3" t="s">
        <v>588</v>
      </c>
      <c r="E26" s="1" t="s">
        <v>818</v>
      </c>
      <c r="F26" s="3" t="s">
        <v>555</v>
      </c>
    </row>
    <row r="27" spans="1:6" ht="29.25" customHeight="1">
      <c r="A27" s="2">
        <f t="shared" si="0"/>
        <v>26</v>
      </c>
      <c r="B27" s="3" t="s">
        <v>589</v>
      </c>
      <c r="C27" s="3" t="s">
        <v>578</v>
      </c>
      <c r="D27" s="3" t="s">
        <v>590</v>
      </c>
      <c r="E27" s="1" t="s">
        <v>819</v>
      </c>
      <c r="F27" s="3" t="s">
        <v>555</v>
      </c>
    </row>
    <row r="28" spans="1:6" ht="29.25" customHeight="1">
      <c r="A28" s="2">
        <f t="shared" si="0"/>
        <v>27</v>
      </c>
      <c r="B28" s="3" t="s">
        <v>591</v>
      </c>
      <c r="C28" s="3" t="s">
        <v>578</v>
      </c>
      <c r="D28" s="3" t="s">
        <v>592</v>
      </c>
      <c r="E28" s="1" t="s">
        <v>820</v>
      </c>
      <c r="F28" s="3" t="s">
        <v>555</v>
      </c>
    </row>
    <row r="29" spans="1:6" ht="29.25" customHeight="1">
      <c r="A29" s="2">
        <f t="shared" si="0"/>
        <v>28</v>
      </c>
      <c r="B29" s="3" t="s">
        <v>593</v>
      </c>
      <c r="C29" s="3" t="s">
        <v>578</v>
      </c>
      <c r="D29" s="3" t="s">
        <v>594</v>
      </c>
      <c r="E29" s="1" t="s">
        <v>821</v>
      </c>
      <c r="F29" s="3" t="s">
        <v>555</v>
      </c>
    </row>
    <row r="30" spans="1:6" ht="29.25" customHeight="1">
      <c r="A30" s="2">
        <f t="shared" si="0"/>
        <v>29</v>
      </c>
      <c r="B30" s="3" t="s">
        <v>595</v>
      </c>
      <c r="C30" s="3" t="s">
        <v>578</v>
      </c>
      <c r="D30" s="3" t="s">
        <v>596</v>
      </c>
      <c r="E30" s="1" t="s">
        <v>822</v>
      </c>
      <c r="F30" s="3" t="s">
        <v>539</v>
      </c>
    </row>
    <row r="31" spans="1:6" ht="29.25" customHeight="1">
      <c r="A31" s="2">
        <f t="shared" si="0"/>
        <v>30</v>
      </c>
      <c r="B31" s="3" t="s">
        <v>597</v>
      </c>
      <c r="C31" s="3" t="s">
        <v>578</v>
      </c>
      <c r="D31" s="3" t="s">
        <v>598</v>
      </c>
      <c r="E31" s="1" t="s">
        <v>823</v>
      </c>
      <c r="F31" s="3" t="s">
        <v>555</v>
      </c>
    </row>
    <row r="32" spans="1:6" ht="29.25" customHeight="1">
      <c r="A32" s="2">
        <f t="shared" si="0"/>
        <v>31</v>
      </c>
      <c r="B32" s="3" t="s">
        <v>599</v>
      </c>
      <c r="C32" s="3" t="s">
        <v>600</v>
      </c>
      <c r="D32" s="3" t="s">
        <v>601</v>
      </c>
      <c r="E32" s="3" t="s">
        <v>602</v>
      </c>
      <c r="F32" s="3" t="s">
        <v>572</v>
      </c>
    </row>
    <row r="33" spans="1:6" ht="29.25" customHeight="1">
      <c r="A33" s="2">
        <f t="shared" si="0"/>
        <v>32</v>
      </c>
      <c r="B33" s="3" t="s">
        <v>603</v>
      </c>
      <c r="C33" s="3" t="s">
        <v>600</v>
      </c>
      <c r="D33" s="3" t="s">
        <v>604</v>
      </c>
      <c r="E33" s="1" t="s">
        <v>824</v>
      </c>
      <c r="F33" s="3" t="s">
        <v>572</v>
      </c>
    </row>
    <row r="34" spans="1:6" ht="29.25" customHeight="1">
      <c r="A34" s="2">
        <f t="shared" si="0"/>
        <v>33</v>
      </c>
      <c r="B34" s="3" t="s">
        <v>605</v>
      </c>
      <c r="C34" s="3" t="s">
        <v>600</v>
      </c>
      <c r="D34" s="3" t="s">
        <v>606</v>
      </c>
      <c r="E34" s="3" t="s">
        <v>607</v>
      </c>
      <c r="F34" s="3" t="s">
        <v>555</v>
      </c>
    </row>
    <row r="35" spans="1:6" ht="29.25" customHeight="1">
      <c r="A35" s="2">
        <f t="shared" si="0"/>
        <v>34</v>
      </c>
      <c r="B35" s="3" t="s">
        <v>608</v>
      </c>
      <c r="C35" s="3" t="s">
        <v>609</v>
      </c>
      <c r="D35" s="3" t="s">
        <v>610</v>
      </c>
      <c r="E35" s="1" t="s">
        <v>825</v>
      </c>
      <c r="F35" s="3" t="s">
        <v>555</v>
      </c>
    </row>
    <row r="36" spans="1:6" ht="29.25" customHeight="1">
      <c r="A36" s="2">
        <f t="shared" si="0"/>
        <v>35</v>
      </c>
      <c r="B36" s="3" t="s">
        <v>611</v>
      </c>
      <c r="C36" s="3" t="s">
        <v>609</v>
      </c>
      <c r="D36" s="3" t="s">
        <v>612</v>
      </c>
      <c r="E36" s="1" t="s">
        <v>826</v>
      </c>
      <c r="F36" s="3" t="s">
        <v>613</v>
      </c>
    </row>
    <row r="37" spans="1:6" ht="29.25" customHeight="1">
      <c r="A37" s="2">
        <f t="shared" si="0"/>
        <v>36</v>
      </c>
      <c r="B37" s="3" t="s">
        <v>614</v>
      </c>
      <c r="C37" s="3" t="s">
        <v>609</v>
      </c>
      <c r="D37" s="3" t="s">
        <v>615</v>
      </c>
      <c r="E37" s="1" t="s">
        <v>827</v>
      </c>
      <c r="F37" s="3" t="s">
        <v>613</v>
      </c>
    </row>
    <row r="38" spans="1:6" ht="29.25" customHeight="1">
      <c r="A38" s="2">
        <f t="shared" si="0"/>
        <v>37</v>
      </c>
      <c r="B38" s="3" t="s">
        <v>616</v>
      </c>
      <c r="C38" s="3" t="s">
        <v>609</v>
      </c>
      <c r="D38" s="3" t="s">
        <v>617</v>
      </c>
      <c r="E38" s="1" t="s">
        <v>828</v>
      </c>
      <c r="F38" s="3" t="s">
        <v>555</v>
      </c>
    </row>
    <row r="39" spans="1:6" ht="29.25" customHeight="1">
      <c r="A39" s="2">
        <f t="shared" si="0"/>
        <v>38</v>
      </c>
      <c r="B39" s="3" t="s">
        <v>618</v>
      </c>
      <c r="C39" s="3" t="s">
        <v>609</v>
      </c>
      <c r="D39" s="3" t="s">
        <v>619</v>
      </c>
      <c r="E39" s="1" t="s">
        <v>829</v>
      </c>
      <c r="F39" s="3" t="s">
        <v>620</v>
      </c>
    </row>
    <row r="40" spans="1:6" ht="29.25" customHeight="1">
      <c r="A40" s="2">
        <f t="shared" si="0"/>
        <v>39</v>
      </c>
      <c r="B40" s="3" t="s">
        <v>621</v>
      </c>
      <c r="C40" s="3" t="s">
        <v>609</v>
      </c>
      <c r="D40" s="3" t="s">
        <v>622</v>
      </c>
      <c r="E40" s="1" t="s">
        <v>830</v>
      </c>
      <c r="F40" s="3" t="s">
        <v>555</v>
      </c>
    </row>
    <row r="41" spans="1:6" ht="29.25" customHeight="1">
      <c r="A41" s="2">
        <f t="shared" si="0"/>
        <v>40</v>
      </c>
      <c r="B41" s="3" t="s">
        <v>623</v>
      </c>
      <c r="C41" s="3" t="s">
        <v>609</v>
      </c>
      <c r="D41" s="3" t="s">
        <v>624</v>
      </c>
      <c r="E41" s="1" t="s">
        <v>831</v>
      </c>
      <c r="F41" s="3" t="s">
        <v>555</v>
      </c>
    </row>
    <row r="42" spans="1:6" ht="29.25" customHeight="1">
      <c r="A42" s="2">
        <f t="shared" si="0"/>
        <v>41</v>
      </c>
      <c r="B42" s="3" t="s">
        <v>625</v>
      </c>
      <c r="C42" s="3" t="s">
        <v>609</v>
      </c>
      <c r="D42" s="3" t="s">
        <v>626</v>
      </c>
      <c r="E42" s="1" t="s">
        <v>832</v>
      </c>
      <c r="F42" s="3" t="s">
        <v>620</v>
      </c>
    </row>
    <row r="43" spans="1:6" ht="29.25" customHeight="1">
      <c r="A43" s="2">
        <f t="shared" si="0"/>
        <v>42</v>
      </c>
      <c r="B43" s="3" t="s">
        <v>627</v>
      </c>
      <c r="C43" s="3" t="s">
        <v>609</v>
      </c>
      <c r="D43" s="3" t="s">
        <v>628</v>
      </c>
      <c r="E43" s="1" t="s">
        <v>833</v>
      </c>
      <c r="F43" s="3" t="s">
        <v>555</v>
      </c>
    </row>
    <row r="44" spans="1:6" ht="29.25" customHeight="1">
      <c r="A44" s="2">
        <f t="shared" si="0"/>
        <v>43</v>
      </c>
      <c r="B44" s="3" t="s">
        <v>629</v>
      </c>
      <c r="C44" s="3" t="s">
        <v>630</v>
      </c>
      <c r="D44" s="3" t="s">
        <v>631</v>
      </c>
      <c r="E44" s="1" t="s">
        <v>834</v>
      </c>
      <c r="F44" s="3" t="s">
        <v>531</v>
      </c>
    </row>
    <row r="45" spans="1:6" ht="29.25" customHeight="1">
      <c r="A45" s="2">
        <f t="shared" si="0"/>
        <v>44</v>
      </c>
      <c r="B45" s="3" t="s">
        <v>632</v>
      </c>
      <c r="C45" s="3" t="s">
        <v>630</v>
      </c>
      <c r="D45" s="3" t="s">
        <v>633</v>
      </c>
      <c r="E45" s="1" t="s">
        <v>835</v>
      </c>
      <c r="F45" s="3" t="s">
        <v>555</v>
      </c>
    </row>
    <row r="46" spans="1:6" ht="29.25" customHeight="1">
      <c r="A46" s="2">
        <f t="shared" si="0"/>
        <v>45</v>
      </c>
      <c r="B46" s="3" t="s">
        <v>634</v>
      </c>
      <c r="C46" s="3" t="s">
        <v>630</v>
      </c>
      <c r="D46" s="3" t="s">
        <v>635</v>
      </c>
      <c r="E46" s="1" t="s">
        <v>836</v>
      </c>
      <c r="F46" s="3" t="s">
        <v>531</v>
      </c>
    </row>
    <row r="47" spans="1:6" ht="29.25" customHeight="1">
      <c r="A47" s="2">
        <f t="shared" si="0"/>
        <v>46</v>
      </c>
      <c r="B47" s="3" t="s">
        <v>636</v>
      </c>
      <c r="C47" s="3" t="s">
        <v>630</v>
      </c>
      <c r="D47" s="3" t="s">
        <v>637</v>
      </c>
      <c r="E47" s="1" t="s">
        <v>837</v>
      </c>
      <c r="F47" s="3" t="s">
        <v>555</v>
      </c>
    </row>
    <row r="48" spans="1:6" ht="29.25" customHeight="1">
      <c r="A48" s="2">
        <f t="shared" si="0"/>
        <v>47</v>
      </c>
      <c r="B48" s="3" t="s">
        <v>638</v>
      </c>
      <c r="C48" s="3" t="s">
        <v>639</v>
      </c>
      <c r="D48" s="3" t="s">
        <v>640</v>
      </c>
      <c r="E48" s="3" t="s">
        <v>641</v>
      </c>
      <c r="F48" s="3" t="s">
        <v>539</v>
      </c>
    </row>
    <row r="49" spans="1:6" ht="29.25" customHeight="1">
      <c r="A49" s="2">
        <f t="shared" si="0"/>
        <v>48</v>
      </c>
      <c r="B49" s="3" t="s">
        <v>642</v>
      </c>
      <c r="C49" s="3" t="s">
        <v>639</v>
      </c>
      <c r="D49" s="3" t="s">
        <v>643</v>
      </c>
      <c r="E49" s="1" t="s">
        <v>838</v>
      </c>
      <c r="F49" s="3" t="s">
        <v>539</v>
      </c>
    </row>
    <row r="50" spans="1:6" ht="29.25" customHeight="1">
      <c r="A50" s="2">
        <f t="shared" si="0"/>
        <v>49</v>
      </c>
      <c r="B50" s="3" t="s">
        <v>644</v>
      </c>
      <c r="C50" s="3" t="s">
        <v>639</v>
      </c>
      <c r="D50" s="3" t="s">
        <v>645</v>
      </c>
      <c r="E50" s="1" t="s">
        <v>839</v>
      </c>
      <c r="F50" s="3" t="s">
        <v>555</v>
      </c>
    </row>
    <row r="51" spans="1:6" ht="29.25" customHeight="1">
      <c r="A51" s="2">
        <f t="shared" si="0"/>
        <v>50</v>
      </c>
      <c r="B51" s="3" t="s">
        <v>646</v>
      </c>
      <c r="C51" s="3" t="s">
        <v>639</v>
      </c>
      <c r="D51" s="3" t="s">
        <v>647</v>
      </c>
      <c r="E51" s="1" t="s">
        <v>840</v>
      </c>
      <c r="F51" s="3" t="s">
        <v>555</v>
      </c>
    </row>
    <row r="52" spans="1:6" ht="29.25" customHeight="1">
      <c r="A52" s="2">
        <f t="shared" si="0"/>
        <v>51</v>
      </c>
      <c r="B52" s="3" t="s">
        <v>648</v>
      </c>
      <c r="C52" s="3" t="s">
        <v>639</v>
      </c>
      <c r="D52" s="3" t="s">
        <v>649</v>
      </c>
      <c r="E52" s="1" t="s">
        <v>841</v>
      </c>
      <c r="F52" s="3" t="s">
        <v>555</v>
      </c>
    </row>
    <row r="53" spans="1:6" ht="29.25" customHeight="1">
      <c r="A53" s="2">
        <f t="shared" si="0"/>
        <v>52</v>
      </c>
      <c r="B53" s="3" t="s">
        <v>650</v>
      </c>
      <c r="C53" s="3" t="s">
        <v>639</v>
      </c>
      <c r="D53" s="3" t="s">
        <v>651</v>
      </c>
      <c r="E53" s="1" t="s">
        <v>842</v>
      </c>
      <c r="F53" s="3" t="s">
        <v>555</v>
      </c>
    </row>
    <row r="54" spans="1:6" ht="29.25" customHeight="1">
      <c r="A54" s="2">
        <f t="shared" si="0"/>
        <v>53</v>
      </c>
      <c r="B54" s="3" t="s">
        <v>652</v>
      </c>
      <c r="C54" s="3" t="s">
        <v>653</v>
      </c>
      <c r="D54" s="3" t="s">
        <v>654</v>
      </c>
      <c r="E54" s="1" t="s">
        <v>843</v>
      </c>
      <c r="F54" s="3" t="s">
        <v>531</v>
      </c>
    </row>
    <row r="55" spans="1:6" ht="29.25" customHeight="1">
      <c r="A55" s="2">
        <f t="shared" si="0"/>
        <v>54</v>
      </c>
      <c r="B55" s="3" t="s">
        <v>655</v>
      </c>
      <c r="C55" s="3" t="s">
        <v>653</v>
      </c>
      <c r="D55" s="3" t="s">
        <v>656</v>
      </c>
      <c r="E55" s="1" t="s">
        <v>844</v>
      </c>
      <c r="F55" s="3" t="s">
        <v>539</v>
      </c>
    </row>
    <row r="56" spans="1:6" ht="29.25" customHeight="1">
      <c r="A56" s="2">
        <f t="shared" si="0"/>
        <v>55</v>
      </c>
      <c r="B56" s="3" t="s">
        <v>657</v>
      </c>
      <c r="C56" s="3" t="s">
        <v>653</v>
      </c>
      <c r="D56" s="3" t="s">
        <v>658</v>
      </c>
      <c r="E56" s="1" t="s">
        <v>845</v>
      </c>
      <c r="F56" s="3" t="s">
        <v>531</v>
      </c>
    </row>
    <row r="57" spans="1:6" ht="29.25" customHeight="1">
      <c r="A57" s="2">
        <f t="shared" si="0"/>
        <v>56</v>
      </c>
      <c r="B57" s="3" t="s">
        <v>659</v>
      </c>
      <c r="C57" s="3" t="s">
        <v>653</v>
      </c>
      <c r="D57" s="3" t="s">
        <v>660</v>
      </c>
      <c r="E57" s="1" t="s">
        <v>846</v>
      </c>
      <c r="F57" s="3" t="s">
        <v>539</v>
      </c>
    </row>
    <row r="58" spans="1:6" ht="29.25" customHeight="1">
      <c r="A58" s="2">
        <f t="shared" si="0"/>
        <v>57</v>
      </c>
      <c r="B58" s="3" t="s">
        <v>661</v>
      </c>
      <c r="C58" s="3" t="s">
        <v>653</v>
      </c>
      <c r="D58" s="3" t="s">
        <v>662</v>
      </c>
      <c r="E58" s="1" t="s">
        <v>847</v>
      </c>
      <c r="F58" s="3" t="s">
        <v>531</v>
      </c>
    </row>
    <row r="59" spans="1:6" ht="29.25" customHeight="1">
      <c r="A59" s="2">
        <f t="shared" si="0"/>
        <v>58</v>
      </c>
      <c r="B59" s="3" t="s">
        <v>663</v>
      </c>
      <c r="C59" s="3" t="s">
        <v>653</v>
      </c>
      <c r="D59" s="3" t="s">
        <v>664</v>
      </c>
      <c r="E59" s="1" t="s">
        <v>848</v>
      </c>
      <c r="F59" s="3" t="s">
        <v>531</v>
      </c>
    </row>
    <row r="60" spans="1:6" ht="29.25" customHeight="1">
      <c r="A60" s="2">
        <f t="shared" si="0"/>
        <v>59</v>
      </c>
      <c r="B60" s="3" t="s">
        <v>665</v>
      </c>
      <c r="C60" s="3" t="s">
        <v>653</v>
      </c>
      <c r="D60" s="3" t="s">
        <v>666</v>
      </c>
      <c r="E60" s="1" t="s">
        <v>849</v>
      </c>
      <c r="F60" s="3" t="s">
        <v>531</v>
      </c>
    </row>
    <row r="61" spans="1:6" ht="29.25" customHeight="1">
      <c r="A61" s="2">
        <f t="shared" si="0"/>
        <v>60</v>
      </c>
      <c r="B61" s="3" t="s">
        <v>667</v>
      </c>
      <c r="C61" s="3" t="s">
        <v>653</v>
      </c>
      <c r="D61" s="3" t="s">
        <v>668</v>
      </c>
      <c r="E61" s="1" t="s">
        <v>850</v>
      </c>
      <c r="F61" s="3" t="s">
        <v>531</v>
      </c>
    </row>
    <row r="62" spans="1:6" ht="29.25" customHeight="1">
      <c r="A62" s="2">
        <f t="shared" ref="A62:A121" si="1">ROW()-1</f>
        <v>61</v>
      </c>
      <c r="B62" s="3" t="s">
        <v>669</v>
      </c>
      <c r="C62" s="3" t="s">
        <v>653</v>
      </c>
      <c r="D62" s="3" t="s">
        <v>670</v>
      </c>
      <c r="E62" s="1" t="s">
        <v>851</v>
      </c>
      <c r="F62" s="3" t="s">
        <v>555</v>
      </c>
    </row>
    <row r="63" spans="1:6" ht="29.25" customHeight="1">
      <c r="A63" s="2">
        <f t="shared" si="1"/>
        <v>62</v>
      </c>
      <c r="B63" s="3" t="s">
        <v>671</v>
      </c>
      <c r="C63" s="3" t="s">
        <v>653</v>
      </c>
      <c r="D63" s="3" t="s">
        <v>672</v>
      </c>
      <c r="E63" s="1" t="s">
        <v>852</v>
      </c>
      <c r="F63" s="3" t="s">
        <v>555</v>
      </c>
    </row>
    <row r="64" spans="1:6" ht="29.25" customHeight="1">
      <c r="A64" s="2">
        <f t="shared" si="1"/>
        <v>63</v>
      </c>
      <c r="B64" s="3" t="s">
        <v>673</v>
      </c>
      <c r="C64" s="3" t="s">
        <v>653</v>
      </c>
      <c r="D64" s="3" t="s">
        <v>674</v>
      </c>
      <c r="E64" s="1" t="s">
        <v>853</v>
      </c>
      <c r="F64" s="3" t="s">
        <v>531</v>
      </c>
    </row>
    <row r="65" spans="1:6" ht="29.25" customHeight="1">
      <c r="A65" s="2">
        <f t="shared" si="1"/>
        <v>64</v>
      </c>
      <c r="B65" s="3" t="s">
        <v>675</v>
      </c>
      <c r="C65" s="3" t="s">
        <v>653</v>
      </c>
      <c r="D65" s="3" t="s">
        <v>676</v>
      </c>
      <c r="E65" s="1" t="s">
        <v>854</v>
      </c>
      <c r="F65" s="3" t="s">
        <v>555</v>
      </c>
    </row>
    <row r="66" spans="1:6" ht="29.25" customHeight="1">
      <c r="A66" s="2">
        <f t="shared" si="1"/>
        <v>65</v>
      </c>
      <c r="B66" s="3" t="s">
        <v>677</v>
      </c>
      <c r="C66" s="3" t="s">
        <v>653</v>
      </c>
      <c r="D66" s="3" t="s">
        <v>678</v>
      </c>
      <c r="E66" s="1" t="s">
        <v>855</v>
      </c>
      <c r="F66" s="3" t="s">
        <v>555</v>
      </c>
    </row>
    <row r="67" spans="1:6" ht="29.25" customHeight="1">
      <c r="A67" s="2">
        <f t="shared" si="1"/>
        <v>66</v>
      </c>
      <c r="B67" s="3" t="s">
        <v>679</v>
      </c>
      <c r="C67" s="3" t="s">
        <v>653</v>
      </c>
      <c r="D67" s="3" t="s">
        <v>680</v>
      </c>
      <c r="E67" s="1" t="s">
        <v>856</v>
      </c>
      <c r="F67" s="3" t="s">
        <v>555</v>
      </c>
    </row>
    <row r="68" spans="1:6" ht="29.25" customHeight="1">
      <c r="A68" s="2">
        <f t="shared" si="1"/>
        <v>67</v>
      </c>
      <c r="B68" s="3" t="s">
        <v>681</v>
      </c>
      <c r="C68" s="3" t="s">
        <v>682</v>
      </c>
      <c r="D68" s="3" t="s">
        <v>683</v>
      </c>
      <c r="E68" s="6" t="s">
        <v>857</v>
      </c>
      <c r="F68" s="3" t="s">
        <v>531</v>
      </c>
    </row>
    <row r="69" spans="1:6" ht="29.25" customHeight="1">
      <c r="A69" s="2">
        <f t="shared" si="1"/>
        <v>68</v>
      </c>
      <c r="B69" s="3" t="s">
        <v>684</v>
      </c>
      <c r="C69" s="3" t="s">
        <v>682</v>
      </c>
      <c r="D69" s="3" t="s">
        <v>685</v>
      </c>
      <c r="E69" s="6" t="s">
        <v>858</v>
      </c>
      <c r="F69" s="3" t="s">
        <v>531</v>
      </c>
    </row>
    <row r="70" spans="1:6" ht="29.25" customHeight="1">
      <c r="A70" s="2">
        <f t="shared" si="1"/>
        <v>69</v>
      </c>
      <c r="B70" s="3" t="s">
        <v>3</v>
      </c>
      <c r="C70" s="3" t="s">
        <v>682</v>
      </c>
      <c r="D70" s="3" t="s">
        <v>686</v>
      </c>
      <c r="E70" s="6" t="s">
        <v>859</v>
      </c>
      <c r="F70" s="3" t="s">
        <v>531</v>
      </c>
    </row>
    <row r="71" spans="1:6" ht="29.25" customHeight="1">
      <c r="A71" s="2">
        <f t="shared" si="1"/>
        <v>70</v>
      </c>
      <c r="B71" s="3" t="s">
        <v>687</v>
      </c>
      <c r="C71" s="3" t="s">
        <v>682</v>
      </c>
      <c r="D71" s="3" t="s">
        <v>688</v>
      </c>
      <c r="E71" s="1" t="s">
        <v>860</v>
      </c>
      <c r="F71" s="3" t="s">
        <v>531</v>
      </c>
    </row>
    <row r="72" spans="1:6" ht="29.25" customHeight="1">
      <c r="A72" s="2">
        <f t="shared" si="1"/>
        <v>71</v>
      </c>
      <c r="B72" s="3" t="s">
        <v>689</v>
      </c>
      <c r="C72" s="3" t="s">
        <v>682</v>
      </c>
      <c r="D72" s="3" t="s">
        <v>690</v>
      </c>
      <c r="E72" s="1" t="s">
        <v>861</v>
      </c>
      <c r="F72" s="3" t="s">
        <v>555</v>
      </c>
    </row>
    <row r="73" spans="1:6" ht="29.25" customHeight="1">
      <c r="A73" s="2">
        <f t="shared" si="1"/>
        <v>72</v>
      </c>
      <c r="B73" s="3" t="s">
        <v>691</v>
      </c>
      <c r="C73" s="3" t="s">
        <v>682</v>
      </c>
      <c r="D73" s="3" t="s">
        <v>692</v>
      </c>
      <c r="E73" s="1" t="s">
        <v>862</v>
      </c>
      <c r="F73" s="3" t="s">
        <v>531</v>
      </c>
    </row>
    <row r="74" spans="1:6" ht="29.25" customHeight="1">
      <c r="A74" s="2">
        <f t="shared" si="1"/>
        <v>73</v>
      </c>
      <c r="B74" s="3" t="s">
        <v>693</v>
      </c>
      <c r="C74" s="3" t="s">
        <v>682</v>
      </c>
      <c r="D74" s="3" t="s">
        <v>694</v>
      </c>
      <c r="E74" s="1" t="s">
        <v>863</v>
      </c>
      <c r="F74" s="3" t="s">
        <v>531</v>
      </c>
    </row>
    <row r="75" spans="1:6" ht="29.25" customHeight="1">
      <c r="A75" s="2">
        <f t="shared" si="1"/>
        <v>74</v>
      </c>
      <c r="B75" s="3" t="s">
        <v>695</v>
      </c>
      <c r="C75" s="3" t="s">
        <v>682</v>
      </c>
      <c r="D75" s="3" t="s">
        <v>696</v>
      </c>
      <c r="E75" s="1" t="s">
        <v>864</v>
      </c>
      <c r="F75" s="3" t="s">
        <v>531</v>
      </c>
    </row>
    <row r="76" spans="1:6" ht="29.25" customHeight="1">
      <c r="A76" s="2">
        <f t="shared" si="1"/>
        <v>75</v>
      </c>
      <c r="B76" s="3" t="s">
        <v>697</v>
      </c>
      <c r="C76" s="3" t="s">
        <v>682</v>
      </c>
      <c r="D76" s="3" t="s">
        <v>698</v>
      </c>
      <c r="E76" s="1" t="s">
        <v>865</v>
      </c>
      <c r="F76" s="3" t="s">
        <v>555</v>
      </c>
    </row>
    <row r="77" spans="1:6" ht="29.25" customHeight="1">
      <c r="A77" s="2">
        <f t="shared" si="1"/>
        <v>76</v>
      </c>
      <c r="B77" s="3" t="s">
        <v>699</v>
      </c>
      <c r="C77" s="3" t="s">
        <v>682</v>
      </c>
      <c r="D77" s="3" t="s">
        <v>700</v>
      </c>
      <c r="E77" s="1" t="s">
        <v>866</v>
      </c>
      <c r="F77" s="3" t="s">
        <v>531</v>
      </c>
    </row>
    <row r="78" spans="1:6" ht="29.25" customHeight="1">
      <c r="A78" s="2">
        <f t="shared" si="1"/>
        <v>77</v>
      </c>
      <c r="B78" s="3" t="s">
        <v>701</v>
      </c>
      <c r="C78" s="3" t="s">
        <v>682</v>
      </c>
      <c r="D78" s="3" t="s">
        <v>702</v>
      </c>
      <c r="E78" s="1" t="s">
        <v>867</v>
      </c>
      <c r="F78" s="3" t="s">
        <v>531</v>
      </c>
    </row>
    <row r="79" spans="1:6" ht="29.25" customHeight="1">
      <c r="A79" s="2">
        <f t="shared" si="1"/>
        <v>78</v>
      </c>
      <c r="B79" s="3" t="s">
        <v>703</v>
      </c>
      <c r="C79" s="3" t="s">
        <v>682</v>
      </c>
      <c r="D79" s="3" t="s">
        <v>704</v>
      </c>
      <c r="E79" s="1" t="s">
        <v>868</v>
      </c>
      <c r="F79" s="3" t="s">
        <v>555</v>
      </c>
    </row>
    <row r="80" spans="1:6" ht="29.25" customHeight="1">
      <c r="A80" s="2">
        <f t="shared" si="1"/>
        <v>79</v>
      </c>
      <c r="B80" s="3" t="s">
        <v>705</v>
      </c>
      <c r="C80" s="3" t="s">
        <v>706</v>
      </c>
      <c r="D80" s="3" t="s">
        <v>707</v>
      </c>
      <c r="E80" s="1" t="s">
        <v>869</v>
      </c>
      <c r="F80" s="3" t="s">
        <v>531</v>
      </c>
    </row>
    <row r="81" spans="1:6" ht="29.25" customHeight="1">
      <c r="A81" s="2">
        <f t="shared" si="1"/>
        <v>80</v>
      </c>
      <c r="B81" s="3" t="s">
        <v>708</v>
      </c>
      <c r="C81" s="3" t="s">
        <v>706</v>
      </c>
      <c r="D81" s="3" t="s">
        <v>709</v>
      </c>
      <c r="E81" s="1" t="s">
        <v>870</v>
      </c>
      <c r="F81" s="3" t="s">
        <v>555</v>
      </c>
    </row>
    <row r="82" spans="1:6" ht="29.25" customHeight="1">
      <c r="A82" s="2">
        <f t="shared" si="1"/>
        <v>81</v>
      </c>
      <c r="B82" s="3" t="s">
        <v>710</v>
      </c>
      <c r="C82" s="3" t="s">
        <v>711</v>
      </c>
      <c r="D82" s="3" t="s">
        <v>712</v>
      </c>
      <c r="E82" s="1" t="s">
        <v>871</v>
      </c>
      <c r="F82" s="3" t="s">
        <v>531</v>
      </c>
    </row>
    <row r="83" spans="1:6" ht="29.25" customHeight="1">
      <c r="A83" s="2">
        <f t="shared" si="1"/>
        <v>82</v>
      </c>
      <c r="B83" s="3" t="s">
        <v>513</v>
      </c>
      <c r="C83" s="3" t="s">
        <v>711</v>
      </c>
      <c r="D83" s="3" t="s">
        <v>713</v>
      </c>
      <c r="E83" s="1" t="s">
        <v>872</v>
      </c>
      <c r="F83" s="3" t="s">
        <v>531</v>
      </c>
    </row>
    <row r="84" spans="1:6" ht="29.25" customHeight="1">
      <c r="A84" s="2">
        <f t="shared" si="1"/>
        <v>83</v>
      </c>
      <c r="B84" s="3" t="s">
        <v>514</v>
      </c>
      <c r="C84" s="3" t="s">
        <v>711</v>
      </c>
      <c r="D84" s="3" t="s">
        <v>714</v>
      </c>
      <c r="E84" s="3" t="s">
        <v>715</v>
      </c>
      <c r="F84" s="3" t="s">
        <v>531</v>
      </c>
    </row>
    <row r="85" spans="1:6" ht="29.25" customHeight="1">
      <c r="A85" s="2">
        <f t="shared" si="1"/>
        <v>84</v>
      </c>
      <c r="B85" s="3" t="s">
        <v>515</v>
      </c>
      <c r="C85" s="3" t="s">
        <v>711</v>
      </c>
      <c r="D85" s="3" t="s">
        <v>716</v>
      </c>
      <c r="E85" s="3" t="s">
        <v>717</v>
      </c>
      <c r="F85" s="3" t="s">
        <v>531</v>
      </c>
    </row>
    <row r="86" spans="1:6" ht="29.25" customHeight="1">
      <c r="A86" s="2">
        <f t="shared" si="1"/>
        <v>85</v>
      </c>
      <c r="B86" s="3" t="s">
        <v>718</v>
      </c>
      <c r="C86" s="3" t="s">
        <v>711</v>
      </c>
      <c r="D86" s="3" t="s">
        <v>719</v>
      </c>
      <c r="E86" s="1" t="s">
        <v>873</v>
      </c>
      <c r="F86" s="3" t="s">
        <v>531</v>
      </c>
    </row>
    <row r="87" spans="1:6" ht="29.25" customHeight="1">
      <c r="A87" s="2">
        <f t="shared" si="1"/>
        <v>86</v>
      </c>
      <c r="B87" s="3" t="s">
        <v>516</v>
      </c>
      <c r="C87" s="3" t="s">
        <v>711</v>
      </c>
      <c r="D87" s="3" t="s">
        <v>720</v>
      </c>
      <c r="E87" s="3" t="s">
        <v>721</v>
      </c>
      <c r="F87" s="3" t="s">
        <v>531</v>
      </c>
    </row>
    <row r="88" spans="1:6" ht="29.25" customHeight="1">
      <c r="A88" s="2">
        <f t="shared" si="1"/>
        <v>87</v>
      </c>
      <c r="B88" s="3" t="s">
        <v>517</v>
      </c>
      <c r="C88" s="3" t="s">
        <v>711</v>
      </c>
      <c r="D88" s="3" t="s">
        <v>722</v>
      </c>
      <c r="E88" s="1" t="s">
        <v>874</v>
      </c>
      <c r="F88" s="3" t="s">
        <v>531</v>
      </c>
    </row>
    <row r="89" spans="1:6" ht="29.25" customHeight="1">
      <c r="A89" s="2">
        <f t="shared" si="1"/>
        <v>88</v>
      </c>
      <c r="B89" s="3" t="s">
        <v>723</v>
      </c>
      <c r="C89" s="3" t="s">
        <v>711</v>
      </c>
      <c r="D89" s="3" t="s">
        <v>724</v>
      </c>
      <c r="E89" s="1" t="s">
        <v>875</v>
      </c>
      <c r="F89" s="3" t="s">
        <v>531</v>
      </c>
    </row>
    <row r="90" spans="1:6" ht="29.25" customHeight="1">
      <c r="A90" s="2">
        <f t="shared" si="1"/>
        <v>89</v>
      </c>
      <c r="B90" s="3" t="s">
        <v>519</v>
      </c>
      <c r="C90" s="3" t="s">
        <v>711</v>
      </c>
      <c r="D90" s="3" t="s">
        <v>725</v>
      </c>
      <c r="E90" s="1" t="s">
        <v>876</v>
      </c>
      <c r="F90" s="3" t="s">
        <v>531</v>
      </c>
    </row>
    <row r="91" spans="1:6" ht="29.25" customHeight="1">
      <c r="A91" s="2">
        <f t="shared" si="1"/>
        <v>90</v>
      </c>
      <c r="B91" s="3" t="s">
        <v>520</v>
      </c>
      <c r="C91" s="3" t="s">
        <v>711</v>
      </c>
      <c r="D91" s="3" t="s">
        <v>726</v>
      </c>
      <c r="E91" s="1" t="s">
        <v>877</v>
      </c>
      <c r="F91" s="3" t="s">
        <v>727</v>
      </c>
    </row>
    <row r="92" spans="1:6" ht="29.25" customHeight="1">
      <c r="A92" s="2">
        <f t="shared" si="1"/>
        <v>91</v>
      </c>
      <c r="B92" s="3" t="s">
        <v>728</v>
      </c>
      <c r="C92" s="3" t="s">
        <v>711</v>
      </c>
      <c r="D92" s="3" t="s">
        <v>729</v>
      </c>
      <c r="E92" s="1" t="s">
        <v>878</v>
      </c>
      <c r="F92" s="3" t="s">
        <v>730</v>
      </c>
    </row>
    <row r="93" spans="1:6" ht="29.25" customHeight="1">
      <c r="A93" s="2">
        <f t="shared" si="1"/>
        <v>92</v>
      </c>
      <c r="B93" s="3" t="s">
        <v>731</v>
      </c>
      <c r="C93" s="3" t="s">
        <v>711</v>
      </c>
      <c r="D93" s="3" t="s">
        <v>732</v>
      </c>
      <c r="E93" s="1" t="s">
        <v>879</v>
      </c>
      <c r="F93" s="3" t="s">
        <v>730</v>
      </c>
    </row>
    <row r="94" spans="1:6" ht="29.25" customHeight="1">
      <c r="A94" s="2">
        <f t="shared" si="1"/>
        <v>93</v>
      </c>
      <c r="B94" s="3" t="s">
        <v>733</v>
      </c>
      <c r="C94" s="3" t="s">
        <v>711</v>
      </c>
      <c r="D94" s="3" t="s">
        <v>734</v>
      </c>
      <c r="E94" s="1" t="s">
        <v>880</v>
      </c>
      <c r="F94" s="3" t="s">
        <v>730</v>
      </c>
    </row>
    <row r="95" spans="1:6" ht="29.25" customHeight="1">
      <c r="A95" s="2">
        <f t="shared" si="1"/>
        <v>94</v>
      </c>
      <c r="B95" s="3" t="s">
        <v>735</v>
      </c>
      <c r="C95" s="3" t="s">
        <v>711</v>
      </c>
      <c r="D95" s="3" t="s">
        <v>736</v>
      </c>
      <c r="E95" s="1" t="s">
        <v>881</v>
      </c>
      <c r="F95" s="3" t="s">
        <v>730</v>
      </c>
    </row>
    <row r="96" spans="1:6" ht="29.25" customHeight="1">
      <c r="A96" s="2">
        <f t="shared" si="1"/>
        <v>95</v>
      </c>
      <c r="B96" s="3" t="s">
        <v>737</v>
      </c>
      <c r="C96" s="3" t="s">
        <v>711</v>
      </c>
      <c r="D96" s="3" t="s">
        <v>738</v>
      </c>
      <c r="E96" s="1" t="s">
        <v>882</v>
      </c>
      <c r="F96" s="3" t="s">
        <v>730</v>
      </c>
    </row>
    <row r="97" spans="1:6" ht="29.25" customHeight="1">
      <c r="A97" s="2">
        <f t="shared" si="1"/>
        <v>96</v>
      </c>
      <c r="B97" s="3" t="s">
        <v>739</v>
      </c>
      <c r="C97" s="3" t="s">
        <v>711</v>
      </c>
      <c r="D97" s="3" t="s">
        <v>740</v>
      </c>
      <c r="E97" s="1" t="s">
        <v>883</v>
      </c>
      <c r="F97" s="3" t="s">
        <v>555</v>
      </c>
    </row>
    <row r="98" spans="1:6" ht="29.25" customHeight="1">
      <c r="A98" s="2">
        <f t="shared" si="1"/>
        <v>97</v>
      </c>
      <c r="B98" s="3" t="s">
        <v>741</v>
      </c>
      <c r="C98" s="3" t="s">
        <v>711</v>
      </c>
      <c r="D98" s="3" t="s">
        <v>742</v>
      </c>
      <c r="E98" s="1" t="s">
        <v>884</v>
      </c>
      <c r="F98" s="3" t="s">
        <v>531</v>
      </c>
    </row>
    <row r="99" spans="1:6" ht="29.25" customHeight="1">
      <c r="A99" s="2">
        <f t="shared" si="1"/>
        <v>98</v>
      </c>
      <c r="B99" s="3" t="s">
        <v>743</v>
      </c>
      <c r="C99" s="3" t="s">
        <v>711</v>
      </c>
      <c r="D99" s="3" t="s">
        <v>744</v>
      </c>
      <c r="E99" s="1" t="s">
        <v>885</v>
      </c>
      <c r="F99" s="3" t="s">
        <v>555</v>
      </c>
    </row>
    <row r="100" spans="1:6" ht="29.25" customHeight="1">
      <c r="A100" s="2">
        <f t="shared" si="1"/>
        <v>99</v>
      </c>
      <c r="B100" s="3" t="s">
        <v>745</v>
      </c>
      <c r="C100" s="3" t="s">
        <v>574</v>
      </c>
      <c r="D100" s="3" t="s">
        <v>746</v>
      </c>
      <c r="E100" s="1" t="s">
        <v>886</v>
      </c>
      <c r="F100" s="3" t="s">
        <v>747</v>
      </c>
    </row>
    <row r="101" spans="1:6" ht="29.25" customHeight="1">
      <c r="A101" s="2">
        <f t="shared" si="1"/>
        <v>100</v>
      </c>
      <c r="B101" s="3" t="s">
        <v>748</v>
      </c>
      <c r="C101" s="3" t="s">
        <v>749</v>
      </c>
      <c r="D101" s="3" t="s">
        <v>750</v>
      </c>
      <c r="E101" s="1" t="s">
        <v>887</v>
      </c>
      <c r="F101" s="3" t="s">
        <v>751</v>
      </c>
    </row>
    <row r="102" spans="1:6" ht="29.25" customHeight="1">
      <c r="A102" s="2">
        <f t="shared" si="1"/>
        <v>101</v>
      </c>
      <c r="B102" s="3" t="s">
        <v>752</v>
      </c>
      <c r="C102" s="3" t="s">
        <v>749</v>
      </c>
      <c r="D102" s="3" t="s">
        <v>753</v>
      </c>
      <c r="E102" s="1" t="s">
        <v>888</v>
      </c>
      <c r="F102" s="3" t="s">
        <v>751</v>
      </c>
    </row>
    <row r="103" spans="1:6" ht="29.25" customHeight="1">
      <c r="A103" s="2">
        <f t="shared" si="1"/>
        <v>102</v>
      </c>
      <c r="B103" s="3" t="s">
        <v>754</v>
      </c>
      <c r="C103" s="3" t="s">
        <v>749</v>
      </c>
      <c r="D103" s="3" t="s">
        <v>755</v>
      </c>
      <c r="E103" s="1" t="s">
        <v>889</v>
      </c>
      <c r="F103" s="3" t="s">
        <v>751</v>
      </c>
    </row>
    <row r="104" spans="1:6" ht="29.25" customHeight="1">
      <c r="A104" s="2">
        <f t="shared" si="1"/>
        <v>103</v>
      </c>
      <c r="B104" s="3" t="s">
        <v>756</v>
      </c>
      <c r="C104" s="3" t="s">
        <v>749</v>
      </c>
      <c r="D104" s="3" t="s">
        <v>757</v>
      </c>
      <c r="E104" s="1" t="s">
        <v>890</v>
      </c>
      <c r="F104" s="3" t="s">
        <v>751</v>
      </c>
    </row>
    <row r="105" spans="1:6" ht="29.25" customHeight="1">
      <c r="A105" s="2">
        <f t="shared" si="1"/>
        <v>104</v>
      </c>
      <c r="B105" s="3" t="s">
        <v>603</v>
      </c>
      <c r="C105" s="3" t="s">
        <v>749</v>
      </c>
      <c r="D105" s="3" t="s">
        <v>758</v>
      </c>
      <c r="E105" s="1" t="s">
        <v>824</v>
      </c>
      <c r="F105" s="3" t="s">
        <v>751</v>
      </c>
    </row>
    <row r="106" spans="1:6" ht="29.25" customHeight="1">
      <c r="A106" s="2">
        <f t="shared" si="1"/>
        <v>105</v>
      </c>
      <c r="B106" s="3" t="s">
        <v>759</v>
      </c>
      <c r="C106" s="3" t="s">
        <v>749</v>
      </c>
      <c r="D106" s="3" t="s">
        <v>760</v>
      </c>
      <c r="E106" s="1" t="s">
        <v>891</v>
      </c>
      <c r="F106" s="3" t="s">
        <v>751</v>
      </c>
    </row>
    <row r="107" spans="1:6" ht="29.25" customHeight="1">
      <c r="A107" s="2">
        <f t="shared" si="1"/>
        <v>106</v>
      </c>
      <c r="B107" s="3" t="s">
        <v>761</v>
      </c>
      <c r="C107" s="3" t="s">
        <v>749</v>
      </c>
      <c r="D107" s="3" t="s">
        <v>762</v>
      </c>
      <c r="E107" s="1" t="s">
        <v>892</v>
      </c>
      <c r="F107" s="3" t="s">
        <v>572</v>
      </c>
    </row>
    <row r="108" spans="1:6" ht="29.25" customHeight="1">
      <c r="A108" s="2">
        <f t="shared" si="1"/>
        <v>107</v>
      </c>
      <c r="B108" s="3" t="s">
        <v>763</v>
      </c>
      <c r="C108" s="3" t="s">
        <v>749</v>
      </c>
      <c r="D108" s="3" t="s">
        <v>764</v>
      </c>
      <c r="E108" s="1" t="s">
        <v>893</v>
      </c>
      <c r="F108" s="3" t="s">
        <v>555</v>
      </c>
    </row>
    <row r="109" spans="1:6" ht="29.25" customHeight="1">
      <c r="A109" s="2">
        <f t="shared" si="1"/>
        <v>108</v>
      </c>
      <c r="B109" s="3" t="s">
        <v>765</v>
      </c>
      <c r="C109" s="3" t="s">
        <v>749</v>
      </c>
      <c r="D109" s="3" t="s">
        <v>766</v>
      </c>
      <c r="E109" s="1" t="s">
        <v>894</v>
      </c>
      <c r="F109" s="3" t="s">
        <v>555</v>
      </c>
    </row>
    <row r="110" spans="1:6" ht="29.25" customHeight="1">
      <c r="A110" s="2">
        <f t="shared" si="1"/>
        <v>109</v>
      </c>
      <c r="B110" s="3" t="s">
        <v>767</v>
      </c>
      <c r="C110" s="3" t="s">
        <v>749</v>
      </c>
      <c r="D110" s="3" t="s">
        <v>768</v>
      </c>
      <c r="E110" s="3" t="s">
        <v>769</v>
      </c>
      <c r="F110" s="3" t="s">
        <v>555</v>
      </c>
    </row>
    <row r="111" spans="1:6" ht="29.25" customHeight="1">
      <c r="A111" s="2">
        <f t="shared" si="1"/>
        <v>110</v>
      </c>
      <c r="B111" s="3" t="s">
        <v>770</v>
      </c>
      <c r="C111" s="3" t="s">
        <v>749</v>
      </c>
      <c r="D111" s="3" t="s">
        <v>771</v>
      </c>
      <c r="E111" s="3" t="s">
        <v>769</v>
      </c>
      <c r="F111" s="3" t="s">
        <v>555</v>
      </c>
    </row>
    <row r="112" spans="1:6" ht="29.25" customHeight="1">
      <c r="A112" s="2">
        <f t="shared" si="1"/>
        <v>111</v>
      </c>
      <c r="B112" s="3" t="s">
        <v>772</v>
      </c>
      <c r="C112" s="3" t="s">
        <v>749</v>
      </c>
      <c r="D112" s="3" t="s">
        <v>773</v>
      </c>
      <c r="E112" s="3" t="s">
        <v>774</v>
      </c>
      <c r="F112" s="3" t="s">
        <v>555</v>
      </c>
    </row>
    <row r="113" spans="1:6" ht="29.25" customHeight="1">
      <c r="A113" s="2">
        <f t="shared" si="1"/>
        <v>112</v>
      </c>
      <c r="B113" s="3" t="s">
        <v>775</v>
      </c>
      <c r="C113" s="3" t="s">
        <v>749</v>
      </c>
      <c r="D113" s="3" t="s">
        <v>776</v>
      </c>
      <c r="E113" s="3" t="s">
        <v>777</v>
      </c>
      <c r="F113" s="3" t="s">
        <v>572</v>
      </c>
    </row>
    <row r="114" spans="1:6" ht="29.25" customHeight="1">
      <c r="A114" s="2">
        <f t="shared" si="1"/>
        <v>113</v>
      </c>
      <c r="B114" s="3" t="s">
        <v>778</v>
      </c>
      <c r="C114" s="3" t="s">
        <v>706</v>
      </c>
      <c r="D114" s="3" t="s">
        <v>779</v>
      </c>
      <c r="E114" s="6" t="s">
        <v>895</v>
      </c>
      <c r="F114" s="3" t="s">
        <v>780</v>
      </c>
    </row>
    <row r="115" spans="1:6" ht="29.25" customHeight="1">
      <c r="A115" s="2">
        <f t="shared" si="1"/>
        <v>114</v>
      </c>
      <c r="B115" s="3" t="s">
        <v>781</v>
      </c>
      <c r="C115" s="3" t="s">
        <v>706</v>
      </c>
      <c r="D115" s="3" t="s">
        <v>782</v>
      </c>
      <c r="E115" s="6" t="s">
        <v>896</v>
      </c>
      <c r="F115" s="3" t="s">
        <v>555</v>
      </c>
    </row>
    <row r="116" spans="1:6" ht="29.25" customHeight="1">
      <c r="A116" s="2">
        <f t="shared" si="1"/>
        <v>115</v>
      </c>
      <c r="B116" s="3" t="s">
        <v>783</v>
      </c>
      <c r="C116" s="3" t="s">
        <v>706</v>
      </c>
      <c r="D116" s="3" t="s">
        <v>784</v>
      </c>
      <c r="E116" s="6" t="s">
        <v>897</v>
      </c>
      <c r="F116" s="3" t="s">
        <v>555</v>
      </c>
    </row>
    <row r="117" spans="1:6" ht="29.25" customHeight="1">
      <c r="A117" s="2">
        <f t="shared" si="1"/>
        <v>116</v>
      </c>
      <c r="B117" s="3" t="s">
        <v>785</v>
      </c>
      <c r="C117" s="3" t="s">
        <v>706</v>
      </c>
      <c r="D117" s="3" t="s">
        <v>786</v>
      </c>
      <c r="E117" s="6" t="s">
        <v>898</v>
      </c>
      <c r="F117" s="3" t="s">
        <v>555</v>
      </c>
    </row>
    <row r="118" spans="1:6" ht="29.25" customHeight="1">
      <c r="A118" s="2">
        <f t="shared" si="1"/>
        <v>117</v>
      </c>
      <c r="B118" s="3" t="s">
        <v>787</v>
      </c>
      <c r="C118" s="3" t="s">
        <v>706</v>
      </c>
      <c r="D118" s="3" t="s">
        <v>788</v>
      </c>
      <c r="E118" s="1" t="s">
        <v>899</v>
      </c>
      <c r="F118" s="3" t="s">
        <v>789</v>
      </c>
    </row>
    <row r="119" spans="1:6" ht="29.25" customHeight="1">
      <c r="A119" s="2">
        <f t="shared" si="1"/>
        <v>118</v>
      </c>
      <c r="B119" s="3" t="s">
        <v>790</v>
      </c>
      <c r="C119" s="3" t="s">
        <v>706</v>
      </c>
      <c r="D119" s="3" t="s">
        <v>791</v>
      </c>
      <c r="E119" s="6" t="s">
        <v>900</v>
      </c>
      <c r="F119" s="3" t="s">
        <v>555</v>
      </c>
    </row>
    <row r="120" spans="1:6" ht="29.25" customHeight="1">
      <c r="A120" s="2">
        <f t="shared" si="1"/>
        <v>119</v>
      </c>
      <c r="B120" s="3" t="s">
        <v>792</v>
      </c>
      <c r="C120" s="3" t="s">
        <v>706</v>
      </c>
      <c r="D120" s="3" t="s">
        <v>793</v>
      </c>
      <c r="E120" s="6" t="s">
        <v>901</v>
      </c>
      <c r="F120" s="3" t="s">
        <v>555</v>
      </c>
    </row>
    <row r="121" spans="1:6" ht="29.25" customHeight="1">
      <c r="A121" s="2">
        <f t="shared" si="1"/>
        <v>120</v>
      </c>
      <c r="B121" s="3" t="s">
        <v>794</v>
      </c>
      <c r="C121" s="3" t="s">
        <v>706</v>
      </c>
      <c r="D121" s="3" t="s">
        <v>795</v>
      </c>
      <c r="E121" s="1" t="s">
        <v>902</v>
      </c>
      <c r="F121" s="3" t="s">
        <v>531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ECL Crosscheck</vt:lpstr>
      <vt:lpstr>Waterfall Validation</vt:lpstr>
      <vt:lpstr>DAX Measure Dictionary</vt:lpstr>
      <vt:lpstr>'ECL Crosscheck'!auto_loan_securitisation_data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2026-09-18T07:11:12Z</dcterms:created>
  <dcterms:modified xsi:type="dcterms:W3CDTF">2026-09-20T15:24:05Z</dcterms:modified>
</cp:coreProperties>
</file>